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bek\Downloads\"/>
    </mc:Choice>
  </mc:AlternateContent>
  <xr:revisionPtr revIDLastSave="0" documentId="13_ncr:1_{B2D9E5B5-83D7-431D-96E7-45DB2EDFE8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tail1" sheetId="3" r:id="rId1"/>
    <sheet name="Detail2" sheetId="4" r:id="rId2"/>
    <sheet name="Sheet2" sheetId="5" r:id="rId3"/>
    <sheet name="Sheet1" sheetId="2" r:id="rId4"/>
    <sheet name="CustomerSegmentation" sheetId="1" r:id="rId5"/>
  </sheets>
  <definedNames>
    <definedName name="_xlnm._FilterDatabase" localSheetId="4" hidden="1">CustomerSegmentation!$A$2:$I$2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2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3" i="5"/>
  <c r="G4" i="5"/>
  <c r="G2" i="5"/>
  <c r="E61" i="5"/>
  <c r="E62" i="5"/>
  <c r="E63" i="5"/>
  <c r="E64" i="5"/>
  <c r="E65" i="5"/>
  <c r="E6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2" i="5"/>
</calcChain>
</file>

<file path=xl/sharedStrings.xml><?xml version="1.0" encoding="utf-8"?>
<sst xmlns="http://schemas.openxmlformats.org/spreadsheetml/2006/main" count="324" uniqueCount="134">
  <si>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</si>
  <si>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</si>
  <si>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</si>
  <si>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</si>
  <si>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</si>
  <si>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</si>
  <si>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</si>
  <si>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</si>
  <si>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Sales</t>
  </si>
  <si>
    <t>99777A</t>
  </si>
  <si>
    <t>Party Bunting</t>
  </si>
  <si>
    <t>Netherlands</t>
  </si>
  <si>
    <t>99563A</t>
  </si>
  <si>
    <t>Germany</t>
  </si>
  <si>
    <t>64102A</t>
  </si>
  <si>
    <t>White Metal Lantern</t>
  </si>
  <si>
    <t>79831A</t>
  </si>
  <si>
    <t>Assorted Colour Bird Ornament</t>
  </si>
  <si>
    <t>79150A</t>
  </si>
  <si>
    <t>Natural Slate Heart Chalkboard</t>
  </si>
  <si>
    <t>97220A</t>
  </si>
  <si>
    <t>Lunch Bag Red Retrospot</t>
  </si>
  <si>
    <t>Italy</t>
  </si>
  <si>
    <t>88883A</t>
  </si>
  <si>
    <t>Jumbo Bag Pink Polkadot</t>
  </si>
  <si>
    <t>55872A</t>
  </si>
  <si>
    <t>22748A</t>
  </si>
  <si>
    <t>64470A</t>
  </si>
  <si>
    <t>Spain</t>
  </si>
  <si>
    <t>16218A</t>
  </si>
  <si>
    <t>84704A</t>
  </si>
  <si>
    <t>Belgium</t>
  </si>
  <si>
    <t>54511A</t>
  </si>
  <si>
    <t>15888A</t>
  </si>
  <si>
    <t>16791A</t>
  </si>
  <si>
    <t>Glass Star Frosted T-Light Holder</t>
  </si>
  <si>
    <t>21098A</t>
  </si>
  <si>
    <t>31892A</t>
  </si>
  <si>
    <t>France</t>
  </si>
  <si>
    <t>63693A</t>
  </si>
  <si>
    <t>32939A</t>
  </si>
  <si>
    <t>41601A</t>
  </si>
  <si>
    <t>86416A</t>
  </si>
  <si>
    <t>54107A</t>
  </si>
  <si>
    <t>60873A</t>
  </si>
  <si>
    <t>21218A</t>
  </si>
  <si>
    <t>46258A</t>
  </si>
  <si>
    <t>41216A</t>
  </si>
  <si>
    <t>62375A</t>
  </si>
  <si>
    <t>71017A</t>
  </si>
  <si>
    <t>38618A</t>
  </si>
  <si>
    <t>20083A</t>
  </si>
  <si>
    <t>15928A</t>
  </si>
  <si>
    <t>18302A</t>
  </si>
  <si>
    <t>United Kingdom</t>
  </si>
  <si>
    <t>25666A</t>
  </si>
  <si>
    <t>75017A</t>
  </si>
  <si>
    <t>84009A</t>
  </si>
  <si>
    <t>12260A</t>
  </si>
  <si>
    <t>42135A</t>
  </si>
  <si>
    <t>55453A</t>
  </si>
  <si>
    <t>17059A</t>
  </si>
  <si>
    <t>92832A</t>
  </si>
  <si>
    <t>18095A</t>
  </si>
  <si>
    <t>29002A</t>
  </si>
  <si>
    <t>19911A</t>
  </si>
  <si>
    <t>34878A</t>
  </si>
  <si>
    <t>12659A</t>
  </si>
  <si>
    <t>75262A</t>
  </si>
  <si>
    <t>82555A</t>
  </si>
  <si>
    <t>30146A</t>
  </si>
  <si>
    <t>32385A</t>
  </si>
  <si>
    <t>65907A</t>
  </si>
  <si>
    <t>84112A</t>
  </si>
  <si>
    <t>41071A</t>
  </si>
  <si>
    <t>22129A</t>
  </si>
  <si>
    <t>16572A</t>
  </si>
  <si>
    <t>33744A</t>
  </si>
  <si>
    <t>71559A</t>
  </si>
  <si>
    <t>50908A</t>
  </si>
  <si>
    <t>61557A</t>
  </si>
  <si>
    <t>59356A</t>
  </si>
  <si>
    <t>83431A</t>
  </si>
  <si>
    <t>39268A</t>
  </si>
  <si>
    <t>96545A</t>
  </si>
  <si>
    <t>89994A</t>
  </si>
  <si>
    <t>99617A</t>
  </si>
  <si>
    <t>74548A</t>
  </si>
  <si>
    <t>94799A</t>
  </si>
  <si>
    <t>77773A</t>
  </si>
  <si>
    <t>79520A</t>
  </si>
  <si>
    <t>13206A</t>
  </si>
  <si>
    <t>34273A</t>
  </si>
  <si>
    <t>24776A</t>
  </si>
  <si>
    <t>29803A</t>
  </si>
  <si>
    <t>58191A</t>
  </si>
  <si>
    <t>98665A</t>
  </si>
  <si>
    <t>48465A</t>
  </si>
  <si>
    <t>85384A</t>
  </si>
  <si>
    <t>63439A</t>
  </si>
  <si>
    <t>47773A</t>
  </si>
  <si>
    <t>41114A</t>
  </si>
  <si>
    <t>91277A</t>
  </si>
  <si>
    <t>66630A</t>
  </si>
  <si>
    <t>11062A</t>
  </si>
  <si>
    <t>44290A</t>
  </si>
  <si>
    <t>23942A</t>
  </si>
  <si>
    <t>41906A</t>
  </si>
  <si>
    <t>30871A</t>
  </si>
  <si>
    <t>71760A</t>
  </si>
  <si>
    <t>41748A</t>
  </si>
  <si>
    <t>44334A</t>
  </si>
  <si>
    <t>96992A</t>
  </si>
  <si>
    <t>53718A</t>
  </si>
  <si>
    <t>72416A</t>
  </si>
  <si>
    <t>58802A</t>
  </si>
  <si>
    <t>15282A</t>
  </si>
  <si>
    <t>81122A</t>
  </si>
  <si>
    <t>98581A</t>
  </si>
  <si>
    <t>87520A</t>
  </si>
  <si>
    <t>15618A</t>
  </si>
  <si>
    <t>43292A</t>
  </si>
  <si>
    <t>37624A</t>
  </si>
  <si>
    <t>Sum of Sales</t>
  </si>
  <si>
    <t>Row Labels</t>
  </si>
  <si>
    <t>Grand Total</t>
  </si>
  <si>
    <t>Max of InvoiceDate</t>
  </si>
  <si>
    <t>Distinct Count of InvoiceNo</t>
  </si>
  <si>
    <t>Details for Max of InvoiceDate - CustomerID: 17851</t>
  </si>
  <si>
    <t>Details for Max of InvoiceDate - CustomerID: 17856</t>
  </si>
  <si>
    <t>R</t>
  </si>
  <si>
    <t>F</t>
  </si>
  <si>
    <t>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</si>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</sst>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bek" refreshedDate="46202.718589351854" createdVersion="8" refreshedVersion="8" minRefreshableVersion="3" recordCount="100" xr:uid="{56E4E24F-F4B2-4FC9-AD22-BE06E4FF6D29}">
  <cacheSource type="worksheet">
    <worksheetSource ref="A2:I102" sheet="CustomerSegmentation"/>
  </cacheSource>
  <cacheFields count="9">
    <cacheField name="InvoiceNo" numFmtId="0">
      <sharedItems containsSemiMixedTypes="0" containsString="0" containsNumber="1" containsInteger="1" minValue="536365" maxValue="536464"/>
    </cacheField>
    <cacheField name="StockCode" numFmtId="0">
      <sharedItems/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30"/>
    </cacheField>
    <cacheField name="InvoiceDate" numFmtId="164">
      <sharedItems containsSemiMixedTypes="0" containsNonDate="0" containsDate="1" containsString="0" minDate="2025-01-15T00:00:00" maxDate="2025-04-23T00:00:00"/>
    </cacheField>
    <cacheField name="UnitPrice" numFmtId="0">
      <sharedItems containsSemiMixedTypes="0" containsString="0" containsNumber="1" minValue="0.54" maxValue="14.86"/>
    </cacheField>
    <cacheField name="CustomerID" numFmtId="0">
      <sharedItems containsSemiMixedTypes="0" containsString="0" containsNumber="1" containsInteger="1" minValue="17851" maxValue="17949" count="65">
        <n v="17931"/>
        <n v="17927"/>
        <n v="17901"/>
        <n v="17904"/>
        <n v="17949"/>
        <n v="17855"/>
        <n v="17921"/>
        <n v="17929"/>
        <n v="17936"/>
        <n v="17918"/>
        <n v="17922"/>
        <n v="17865"/>
        <n v="17890"/>
        <n v="17925"/>
        <n v="17897"/>
        <n v="17876"/>
        <n v="17940"/>
        <n v="17913"/>
        <n v="17857"/>
        <n v="17877"/>
        <n v="17868"/>
        <n v="17938"/>
        <n v="17862"/>
        <n v="17917"/>
        <n v="17869"/>
        <n v="17943"/>
        <n v="17895"/>
        <n v="17905"/>
        <n v="17910"/>
        <n v="17891"/>
        <n v="17852"/>
        <n v="17911"/>
        <n v="17947"/>
        <n v="17906"/>
        <n v="17861"/>
        <n v="17871"/>
        <n v="17853"/>
        <n v="17872"/>
        <n v="17856"/>
        <n v="17858"/>
        <n v="17944"/>
        <n v="17924"/>
        <n v="17892"/>
        <n v="17948"/>
        <n v="17859"/>
        <n v="17896"/>
        <n v="17902"/>
        <n v="17912"/>
        <n v="17928"/>
        <n v="17878"/>
        <n v="17875"/>
        <n v="17937"/>
        <n v="17887"/>
        <n v="17909"/>
        <n v="17889"/>
        <n v="17883"/>
        <n v="17851"/>
        <n v="17914"/>
        <n v="17900"/>
        <n v="17885"/>
        <n v="17915"/>
        <n v="17879"/>
        <n v="17933"/>
        <n v="17907"/>
        <n v="17860"/>
      </sharedItems>
    </cacheField>
    <cacheField name="Country" numFmtId="0">
      <sharedItems/>
    </cacheField>
    <cacheField name="Sales" numFmtId="0">
      <sharedItems containsSemiMixedTypes="0" containsString="0" containsNumber="1" minValue="1.54" maxValue="44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536365"/>
    <s v="99777A"/>
    <s v="Party Bunting"/>
    <n v="1"/>
    <d v="2025-04-22T00:00:00"/>
    <n v="13.33"/>
    <x v="0"/>
    <s v="Netherlands"/>
    <n v="13.33"/>
  </r>
  <r>
    <n v="536366"/>
    <s v="99563A"/>
    <s v="Party Bunting"/>
    <n v="23"/>
    <d v="2025-04-22T00:00:00"/>
    <n v="3.52"/>
    <x v="1"/>
    <s v="Germany"/>
    <n v="80.959999999999994"/>
  </r>
  <r>
    <n v="536367"/>
    <s v="64102A"/>
    <s v="White Metal Lantern"/>
    <n v="14"/>
    <d v="2025-04-20T00:00:00"/>
    <n v="11.89"/>
    <x v="2"/>
    <s v="Netherlands"/>
    <n v="166.46"/>
  </r>
  <r>
    <n v="536368"/>
    <s v="79831A"/>
    <s v="Assorted Colour Bird Ornament"/>
    <n v="24"/>
    <d v="2025-01-15T00:00:00"/>
    <n v="10.33"/>
    <x v="3"/>
    <s v="Germany"/>
    <n v="247.92"/>
  </r>
  <r>
    <n v="536369"/>
    <s v="79150A"/>
    <s v="Natural Slate Heart Chalkboard"/>
    <n v="7"/>
    <d v="2025-01-16T00:00:00"/>
    <n v="14.76"/>
    <x v="4"/>
    <s v="Netherlands"/>
    <n v="103.32"/>
  </r>
  <r>
    <n v="536370"/>
    <s v="97220A"/>
    <s v="Lunch Bag Red Retrospot"/>
    <n v="20"/>
    <d v="2025-01-17T00:00:00"/>
    <n v="1.42"/>
    <x v="5"/>
    <s v="Italy"/>
    <n v="28.4"/>
  </r>
  <r>
    <n v="536371"/>
    <s v="88883A"/>
    <s v="Jumbo Bag Pink Polkadot"/>
    <n v="12"/>
    <d v="2025-01-18T00:00:00"/>
    <n v="10.34"/>
    <x v="6"/>
    <s v="Germany"/>
    <n v="124.08"/>
  </r>
  <r>
    <n v="536372"/>
    <s v="55872A"/>
    <s v="Natural Slate Heart Chalkboard"/>
    <n v="25"/>
    <d v="2025-01-19T00:00:00"/>
    <n v="9.6"/>
    <x v="7"/>
    <s v="Netherlands"/>
    <n v="240"/>
  </r>
  <r>
    <n v="536373"/>
    <s v="22748A"/>
    <s v="Assorted Colour Bird Ornament"/>
    <n v="24"/>
    <d v="2025-01-20T00:00:00"/>
    <n v="4.37"/>
    <x v="8"/>
    <s v="Netherlands"/>
    <n v="104.88"/>
  </r>
  <r>
    <n v="536374"/>
    <s v="64470A"/>
    <s v="Jumbo Bag Pink Polkadot"/>
    <n v="11"/>
    <d v="2025-01-21T00:00:00"/>
    <n v="12.92"/>
    <x v="9"/>
    <s v="Spain"/>
    <n v="142.12"/>
  </r>
  <r>
    <n v="536375"/>
    <s v="16218A"/>
    <s v="Party Bunting"/>
    <n v="1"/>
    <d v="2025-01-22T00:00:00"/>
    <n v="7"/>
    <x v="10"/>
    <s v="Italy"/>
    <n v="7"/>
  </r>
  <r>
    <n v="536376"/>
    <s v="84704A"/>
    <s v="Natural Slate Heart Chalkboard"/>
    <n v="16"/>
    <d v="2025-01-23T00:00:00"/>
    <n v="5.58"/>
    <x v="11"/>
    <s v="Belgium"/>
    <n v="89.28"/>
  </r>
  <r>
    <n v="536377"/>
    <s v="54511A"/>
    <s v="Assorted Colour Bird Ornament"/>
    <n v="5"/>
    <d v="2025-01-24T00:00:00"/>
    <n v="10.31"/>
    <x v="12"/>
    <s v="Belgium"/>
    <n v="51.55"/>
  </r>
  <r>
    <n v="536378"/>
    <s v="15888A"/>
    <s v="Natural Slate Heart Chalkboard"/>
    <n v="7"/>
    <d v="2025-01-25T00:00:00"/>
    <n v="6.94"/>
    <x v="13"/>
    <s v="Germany"/>
    <n v="48.58"/>
  </r>
  <r>
    <n v="536379"/>
    <s v="16791A"/>
    <s v="Glass Star Frosted T-Light Holder"/>
    <n v="3"/>
    <d v="2025-01-26T00:00:00"/>
    <n v="4.26"/>
    <x v="14"/>
    <s v="Belgium"/>
    <n v="12.78"/>
  </r>
  <r>
    <n v="536380"/>
    <s v="21098A"/>
    <s v="Glass Star Frosted T-Light Holder"/>
    <n v="2"/>
    <d v="2025-01-27T00:00:00"/>
    <n v="0.77"/>
    <x v="15"/>
    <s v="Spain"/>
    <n v="1.54"/>
  </r>
  <r>
    <n v="536381"/>
    <s v="31892A"/>
    <s v="Assorted Colour Bird Ornament"/>
    <n v="3"/>
    <d v="2025-01-28T00:00:00"/>
    <n v="2.13"/>
    <x v="2"/>
    <s v="France"/>
    <n v="6.39"/>
  </r>
  <r>
    <n v="536382"/>
    <s v="63693A"/>
    <s v="Assorted Colour Bird Ornament"/>
    <n v="16"/>
    <d v="2025-01-29T00:00:00"/>
    <n v="0.98"/>
    <x v="16"/>
    <s v="Germany"/>
    <n v="15.68"/>
  </r>
  <r>
    <n v="536383"/>
    <s v="32939A"/>
    <s v="Jumbo Bag Pink Polkadot"/>
    <n v="2"/>
    <d v="2025-01-30T00:00:00"/>
    <n v="10.45"/>
    <x v="17"/>
    <s v="Netherlands"/>
    <n v="20.9"/>
  </r>
  <r>
    <n v="536384"/>
    <s v="41601A"/>
    <s v="Jumbo Bag Pink Polkadot"/>
    <n v="18"/>
    <d v="2025-01-31T00:00:00"/>
    <n v="2.94"/>
    <x v="18"/>
    <s v="France"/>
    <n v="52.92"/>
  </r>
  <r>
    <n v="536385"/>
    <s v="86416A"/>
    <s v="Natural Slate Heart Chalkboard"/>
    <n v="16"/>
    <d v="2025-02-01T00:00:00"/>
    <n v="12.94"/>
    <x v="19"/>
    <s v="Italy"/>
    <n v="207.04"/>
  </r>
  <r>
    <n v="536386"/>
    <s v="54107A"/>
    <s v="White Metal Lantern"/>
    <n v="26"/>
    <d v="2025-02-02T00:00:00"/>
    <n v="11.94"/>
    <x v="20"/>
    <s v="Netherlands"/>
    <n v="310.44"/>
  </r>
  <r>
    <n v="536387"/>
    <s v="60873A"/>
    <s v="White Metal Lantern"/>
    <n v="24"/>
    <d v="2025-02-03T00:00:00"/>
    <n v="6.53"/>
    <x v="21"/>
    <s v="Germany"/>
    <n v="156.72"/>
  </r>
  <r>
    <n v="536388"/>
    <s v="21218A"/>
    <s v="White Metal Lantern"/>
    <n v="23"/>
    <d v="2025-02-04T00:00:00"/>
    <n v="9.94"/>
    <x v="0"/>
    <s v="Germany"/>
    <n v="228.62"/>
  </r>
  <r>
    <n v="536389"/>
    <s v="46258A"/>
    <s v="Lunch Bag Red Retrospot"/>
    <n v="5"/>
    <d v="2025-02-05T00:00:00"/>
    <n v="4.3899999999999997"/>
    <x v="22"/>
    <s v="Belgium"/>
    <n v="21.95"/>
  </r>
  <r>
    <n v="536390"/>
    <s v="41216A"/>
    <s v="Party Bunting"/>
    <n v="8"/>
    <d v="2025-02-06T00:00:00"/>
    <n v="3.61"/>
    <x v="23"/>
    <s v="Italy"/>
    <n v="28.88"/>
  </r>
  <r>
    <n v="536391"/>
    <s v="62375A"/>
    <s v="Natural Slate Heart Chalkboard"/>
    <n v="29"/>
    <d v="2025-02-07T00:00:00"/>
    <n v="12.16"/>
    <x v="24"/>
    <s v="France"/>
    <n v="352.64"/>
  </r>
  <r>
    <n v="536392"/>
    <s v="71017A"/>
    <s v="Assorted Colour Bird Ornament"/>
    <n v="15"/>
    <d v="2025-02-08T00:00:00"/>
    <n v="14.47"/>
    <x v="25"/>
    <s v="Spain"/>
    <n v="217.05"/>
  </r>
  <r>
    <n v="536393"/>
    <s v="38618A"/>
    <s v="Natural Slate Heart Chalkboard"/>
    <n v="7"/>
    <d v="2025-02-09T00:00:00"/>
    <n v="10.16"/>
    <x v="26"/>
    <s v="France"/>
    <n v="71.12"/>
  </r>
  <r>
    <n v="536394"/>
    <s v="20083A"/>
    <s v="White Metal Lantern"/>
    <n v="7"/>
    <d v="2025-02-10T00:00:00"/>
    <n v="2.08"/>
    <x v="27"/>
    <s v="Germany"/>
    <n v="14.56"/>
  </r>
  <r>
    <n v="536395"/>
    <s v="15928A"/>
    <s v="Party Bunting"/>
    <n v="9"/>
    <d v="2025-02-11T00:00:00"/>
    <n v="6.66"/>
    <x v="28"/>
    <s v="Spain"/>
    <n v="59.94"/>
  </r>
  <r>
    <n v="536396"/>
    <s v="18302A"/>
    <s v="Jumbo Bag Pink Polkadot"/>
    <n v="17"/>
    <d v="2025-02-12T00:00:00"/>
    <n v="6.72"/>
    <x v="14"/>
    <s v="United Kingdom"/>
    <n v="114.24"/>
  </r>
  <r>
    <n v="536397"/>
    <s v="25666A"/>
    <s v="White Metal Lantern"/>
    <n v="6"/>
    <d v="2025-02-13T00:00:00"/>
    <n v="11.73"/>
    <x v="18"/>
    <s v="Netherlands"/>
    <n v="70.38"/>
  </r>
  <r>
    <n v="536398"/>
    <s v="75017A"/>
    <s v="White Metal Lantern"/>
    <n v="30"/>
    <d v="2025-02-14T00:00:00"/>
    <n v="14.67"/>
    <x v="29"/>
    <s v="France"/>
    <n v="440.1"/>
  </r>
  <r>
    <n v="536399"/>
    <s v="84009A"/>
    <s v="Lunch Bag Red Retrospot"/>
    <n v="6"/>
    <d v="2025-02-15T00:00:00"/>
    <n v="10.24"/>
    <x v="30"/>
    <s v="France"/>
    <n v="61.44"/>
  </r>
  <r>
    <n v="536400"/>
    <s v="12260A"/>
    <s v="Natural Slate Heart Chalkboard"/>
    <n v="18"/>
    <d v="2025-02-16T00:00:00"/>
    <n v="8.0399999999999991"/>
    <x v="31"/>
    <s v="Italy"/>
    <n v="144.72"/>
  </r>
  <r>
    <n v="536401"/>
    <s v="42135A"/>
    <s v="Jumbo Bag Pink Polkadot"/>
    <n v="13"/>
    <d v="2025-02-17T00:00:00"/>
    <n v="3.99"/>
    <x v="28"/>
    <s v="Belgium"/>
    <n v="51.87"/>
  </r>
  <r>
    <n v="536402"/>
    <s v="55453A"/>
    <s v="Jumbo Bag Pink Polkadot"/>
    <n v="29"/>
    <d v="2025-02-18T00:00:00"/>
    <n v="2.2799999999999998"/>
    <x v="32"/>
    <s v="France"/>
    <n v="66.12"/>
  </r>
  <r>
    <n v="536403"/>
    <s v="17059A"/>
    <s v="Natural Slate Heart Chalkboard"/>
    <n v="22"/>
    <d v="2025-02-19T00:00:00"/>
    <n v="6.72"/>
    <x v="33"/>
    <s v="United Kingdom"/>
    <n v="147.84"/>
  </r>
  <r>
    <n v="536404"/>
    <s v="92832A"/>
    <s v="Natural Slate Heart Chalkboard"/>
    <n v="21"/>
    <d v="2025-02-20T00:00:00"/>
    <n v="9.49"/>
    <x v="34"/>
    <s v="Italy"/>
    <n v="199.29"/>
  </r>
  <r>
    <n v="536405"/>
    <s v="18095A"/>
    <s v="White Metal Lantern"/>
    <n v="24"/>
    <d v="2025-02-21T00:00:00"/>
    <n v="8.52"/>
    <x v="35"/>
    <s v="Spain"/>
    <n v="204.48"/>
  </r>
  <r>
    <n v="536406"/>
    <s v="29002A"/>
    <s v="Glass Star Frosted T-Light Holder"/>
    <n v="13"/>
    <d v="2025-02-22T00:00:00"/>
    <n v="12.58"/>
    <x v="36"/>
    <s v="Spain"/>
    <n v="163.54"/>
  </r>
  <r>
    <n v="536407"/>
    <s v="19911A"/>
    <s v="Assorted Colour Bird Ornament"/>
    <n v="19"/>
    <d v="2025-02-23T00:00:00"/>
    <n v="5.12"/>
    <x v="37"/>
    <s v="United Kingdom"/>
    <n v="97.28"/>
  </r>
  <r>
    <n v="536408"/>
    <s v="34878A"/>
    <s v="Lunch Bag Red Retrospot"/>
    <n v="30"/>
    <d v="2025-02-24T00:00:00"/>
    <n v="8.24"/>
    <x v="38"/>
    <s v="Italy"/>
    <n v="247.2"/>
  </r>
  <r>
    <n v="536409"/>
    <s v="12659A"/>
    <s v="Party Bunting"/>
    <n v="1"/>
    <d v="2025-02-25T00:00:00"/>
    <n v="2.8"/>
    <x v="39"/>
    <s v="Spain"/>
    <n v="2.8"/>
  </r>
  <r>
    <n v="536410"/>
    <s v="75262A"/>
    <s v="Jumbo Bag Pink Polkadot"/>
    <n v="11"/>
    <d v="2025-02-26T00:00:00"/>
    <n v="12.8"/>
    <x v="37"/>
    <s v="Germany"/>
    <n v="140.80000000000001"/>
  </r>
  <r>
    <n v="536411"/>
    <s v="82555A"/>
    <s v="Natural Slate Heart Chalkboard"/>
    <n v="16"/>
    <d v="2025-02-27T00:00:00"/>
    <n v="10.9"/>
    <x v="25"/>
    <s v="Belgium"/>
    <n v="174.4"/>
  </r>
  <r>
    <n v="536412"/>
    <s v="30146A"/>
    <s v="Lunch Bag Red Retrospot"/>
    <n v="2"/>
    <d v="2025-02-28T00:00:00"/>
    <n v="10.43"/>
    <x v="20"/>
    <s v="Netherlands"/>
    <n v="20.86"/>
  </r>
  <r>
    <n v="536413"/>
    <s v="32385A"/>
    <s v="Party Bunting"/>
    <n v="14"/>
    <d v="2025-03-01T00:00:00"/>
    <n v="14.79"/>
    <x v="7"/>
    <s v="Netherlands"/>
    <n v="207.06"/>
  </r>
  <r>
    <n v="536414"/>
    <s v="65907A"/>
    <s v="Jumbo Bag Pink Polkadot"/>
    <n v="21"/>
    <d v="2025-03-02T00:00:00"/>
    <n v="6.97"/>
    <x v="40"/>
    <s v="Spain"/>
    <n v="146.37"/>
  </r>
  <r>
    <n v="536415"/>
    <s v="84112A"/>
    <s v="Natural Slate Heart Chalkboard"/>
    <n v="13"/>
    <d v="2025-03-03T00:00:00"/>
    <n v="9.91"/>
    <x v="41"/>
    <s v="United Kingdom"/>
    <n v="128.83000000000001"/>
  </r>
  <r>
    <n v="536416"/>
    <s v="41071A"/>
    <s v="Glass Star Frosted T-Light Holder"/>
    <n v="24"/>
    <d v="2025-03-04T00:00:00"/>
    <n v="10.97"/>
    <x v="42"/>
    <s v="Spain"/>
    <n v="263.27999999999997"/>
  </r>
  <r>
    <n v="536417"/>
    <s v="22129A"/>
    <s v="Jumbo Bag Pink Polkadot"/>
    <n v="2"/>
    <d v="2025-03-05T00:00:00"/>
    <n v="6.36"/>
    <x v="10"/>
    <s v="Germany"/>
    <n v="12.72"/>
  </r>
  <r>
    <n v="536418"/>
    <s v="16572A"/>
    <s v="White Metal Lantern"/>
    <n v="29"/>
    <d v="2025-03-06T00:00:00"/>
    <n v="14.55"/>
    <x v="15"/>
    <s v="Netherlands"/>
    <n v="421.95"/>
  </r>
  <r>
    <n v="536419"/>
    <s v="33744A"/>
    <s v="Assorted Colour Bird Ornament"/>
    <n v="23"/>
    <d v="2025-03-07T00:00:00"/>
    <n v="7.58"/>
    <x v="43"/>
    <s v="France"/>
    <n v="174.34"/>
  </r>
  <r>
    <n v="536420"/>
    <s v="71559A"/>
    <s v="Lunch Bag Red Retrospot"/>
    <n v="4"/>
    <d v="2025-03-08T00:00:00"/>
    <n v="12.35"/>
    <x v="44"/>
    <s v="Belgium"/>
    <n v="49.4"/>
  </r>
  <r>
    <n v="536421"/>
    <s v="50908A"/>
    <s v="Party Bunting"/>
    <n v="23"/>
    <d v="2025-03-09T00:00:00"/>
    <n v="5.03"/>
    <x v="45"/>
    <s v="Germany"/>
    <n v="115.69"/>
  </r>
  <r>
    <n v="536422"/>
    <s v="61557A"/>
    <s v="Natural Slate Heart Chalkboard"/>
    <n v="28"/>
    <d v="2025-03-10T00:00:00"/>
    <n v="11.55"/>
    <x v="25"/>
    <s v="Italy"/>
    <n v="323.39999999999998"/>
  </r>
  <r>
    <n v="536423"/>
    <s v="59356A"/>
    <s v="White Metal Lantern"/>
    <n v="24"/>
    <d v="2025-03-11T00:00:00"/>
    <n v="4.3899999999999997"/>
    <x v="46"/>
    <s v="Italy"/>
    <n v="105.36"/>
  </r>
  <r>
    <n v="536424"/>
    <s v="83431A"/>
    <s v="Jumbo Bag Pink Polkadot"/>
    <n v="23"/>
    <d v="2025-03-12T00:00:00"/>
    <n v="9.84"/>
    <x v="36"/>
    <s v="France"/>
    <n v="226.32"/>
  </r>
  <r>
    <n v="536425"/>
    <s v="39268A"/>
    <s v="Party Bunting"/>
    <n v="24"/>
    <d v="2025-03-13T00:00:00"/>
    <n v="10.24"/>
    <x v="47"/>
    <s v="United Kingdom"/>
    <n v="245.76"/>
  </r>
  <r>
    <n v="536426"/>
    <s v="96545A"/>
    <s v="White Metal Lantern"/>
    <n v="25"/>
    <d v="2025-03-14T00:00:00"/>
    <n v="9.5"/>
    <x v="48"/>
    <s v="United Kingdom"/>
    <n v="237.5"/>
  </r>
  <r>
    <n v="536427"/>
    <s v="89994A"/>
    <s v="Party Bunting"/>
    <n v="3"/>
    <d v="2025-03-15T00:00:00"/>
    <n v="10.91"/>
    <x v="49"/>
    <s v="Spain"/>
    <n v="32.729999999999997"/>
  </r>
  <r>
    <n v="536428"/>
    <s v="99617A"/>
    <s v="Party Bunting"/>
    <n v="21"/>
    <d v="2025-03-16T00:00:00"/>
    <n v="3.99"/>
    <x v="50"/>
    <s v="Germany"/>
    <n v="83.79"/>
  </r>
  <r>
    <n v="536429"/>
    <s v="74548A"/>
    <s v="Natural Slate Heart Chalkboard"/>
    <n v="24"/>
    <d v="2025-03-17T00:00:00"/>
    <n v="5.17"/>
    <x v="51"/>
    <s v="Italy"/>
    <n v="124.08"/>
  </r>
  <r>
    <n v="536430"/>
    <s v="94799A"/>
    <s v="Lunch Bag Red Retrospot"/>
    <n v="10"/>
    <d v="2025-03-18T00:00:00"/>
    <n v="3.01"/>
    <x v="44"/>
    <s v="France"/>
    <n v="30.1"/>
  </r>
  <r>
    <n v="536431"/>
    <s v="77773A"/>
    <s v="Assorted Colour Bird Ornament"/>
    <n v="10"/>
    <d v="2025-03-19T00:00:00"/>
    <n v="11.47"/>
    <x v="52"/>
    <s v="United Kingdom"/>
    <n v="114.7"/>
  </r>
  <r>
    <n v="536432"/>
    <s v="79520A"/>
    <s v="Jumbo Bag Pink Polkadot"/>
    <n v="11"/>
    <d v="2025-03-20T00:00:00"/>
    <n v="7.21"/>
    <x v="30"/>
    <s v="United Kingdom"/>
    <n v="79.31"/>
  </r>
  <r>
    <n v="536433"/>
    <s v="13206A"/>
    <s v="Assorted Colour Bird Ornament"/>
    <n v="8"/>
    <d v="2025-03-21T00:00:00"/>
    <n v="0.54"/>
    <x v="48"/>
    <s v="Italy"/>
    <n v="4.32"/>
  </r>
  <r>
    <n v="536434"/>
    <s v="34273A"/>
    <s v="Natural Slate Heart Chalkboard"/>
    <n v="1"/>
    <d v="2025-03-22T00:00:00"/>
    <n v="8.6199999999999992"/>
    <x v="53"/>
    <s v="United Kingdom"/>
    <n v="8.6199999999999992"/>
  </r>
  <r>
    <n v="536435"/>
    <s v="24776A"/>
    <s v="Jumbo Bag Pink Polkadot"/>
    <n v="13"/>
    <d v="2025-03-23T00:00:00"/>
    <n v="1.55"/>
    <x v="19"/>
    <s v="United Kingdom"/>
    <n v="20.149999999999999"/>
  </r>
  <r>
    <n v="536436"/>
    <s v="29803A"/>
    <s v="Lunch Bag Red Retrospot"/>
    <n v="15"/>
    <d v="2025-03-24T00:00:00"/>
    <n v="5.18"/>
    <x v="29"/>
    <s v="Belgium"/>
    <n v="77.7"/>
  </r>
  <r>
    <n v="536437"/>
    <s v="58191A"/>
    <s v="Assorted Colour Bird Ornament"/>
    <n v="13"/>
    <d v="2025-03-25T00:00:00"/>
    <n v="14.86"/>
    <x v="54"/>
    <s v="France"/>
    <n v="193.18"/>
  </r>
  <r>
    <n v="536438"/>
    <s v="98665A"/>
    <s v="Assorted Colour Bird Ornament"/>
    <n v="11"/>
    <d v="2025-03-26T00:00:00"/>
    <n v="13.04"/>
    <x v="55"/>
    <s v="Germany"/>
    <n v="143.44"/>
  </r>
  <r>
    <n v="536439"/>
    <s v="48465A"/>
    <s v="Glass Star Frosted T-Light Holder"/>
    <n v="22"/>
    <d v="2025-03-27T00:00:00"/>
    <n v="2.85"/>
    <x v="20"/>
    <s v="Spain"/>
    <n v="62.7"/>
  </r>
  <r>
    <n v="536440"/>
    <s v="85384A"/>
    <s v="Jumbo Bag Pink Polkadot"/>
    <n v="5"/>
    <d v="2025-03-28T00:00:00"/>
    <n v="9.57"/>
    <x v="5"/>
    <s v="Spain"/>
    <n v="47.85"/>
  </r>
  <r>
    <n v="536441"/>
    <s v="63439A"/>
    <s v="Lunch Bag Red Retrospot"/>
    <n v="5"/>
    <d v="2025-03-29T00:00:00"/>
    <n v="8.65"/>
    <x v="43"/>
    <s v="France"/>
    <n v="43.25"/>
  </r>
  <r>
    <n v="536442"/>
    <s v="47773A"/>
    <s v="Lunch Bag Red Retrospot"/>
    <n v="26"/>
    <d v="2025-03-30T00:00:00"/>
    <n v="14.61"/>
    <x v="56"/>
    <s v="United Kingdom"/>
    <n v="379.86"/>
  </r>
  <r>
    <n v="536443"/>
    <s v="41114A"/>
    <s v="Party Bunting"/>
    <n v="18"/>
    <d v="2025-03-31T00:00:00"/>
    <n v="4.2699999999999996"/>
    <x v="25"/>
    <s v="United Kingdom"/>
    <n v="76.86"/>
  </r>
  <r>
    <n v="536444"/>
    <s v="91277A"/>
    <s v="Lunch Bag Red Retrospot"/>
    <n v="25"/>
    <d v="2025-04-01T00:00:00"/>
    <n v="10.97"/>
    <x v="23"/>
    <s v="United Kingdom"/>
    <n v="274.25"/>
  </r>
  <r>
    <n v="536445"/>
    <s v="66630A"/>
    <s v="Glass Star Frosted T-Light Holder"/>
    <n v="6"/>
    <d v="2025-04-02T00:00:00"/>
    <n v="1.68"/>
    <x v="57"/>
    <s v="France"/>
    <n v="10.08"/>
  </r>
  <r>
    <n v="536446"/>
    <s v="11062A"/>
    <s v="Assorted Colour Bird Ornament"/>
    <n v="28"/>
    <d v="2025-04-03T00:00:00"/>
    <n v="7.19"/>
    <x v="58"/>
    <s v="Netherlands"/>
    <n v="201.32"/>
  </r>
  <r>
    <n v="536447"/>
    <s v="44290A"/>
    <s v="Glass Star Frosted T-Light Holder"/>
    <n v="17"/>
    <d v="2025-04-04T00:00:00"/>
    <n v="10.88"/>
    <x v="50"/>
    <s v="Spain"/>
    <n v="184.96"/>
  </r>
  <r>
    <n v="536448"/>
    <s v="23942A"/>
    <s v="Jumbo Bag Pink Polkadot"/>
    <n v="6"/>
    <d v="2025-04-05T00:00:00"/>
    <n v="10.16"/>
    <x v="2"/>
    <s v="France"/>
    <n v="60.96"/>
  </r>
  <r>
    <n v="536449"/>
    <s v="41906A"/>
    <s v="Party Bunting"/>
    <n v="23"/>
    <d v="2025-04-06T00:00:00"/>
    <n v="12.11"/>
    <x v="32"/>
    <s v="Netherlands"/>
    <n v="278.52999999999997"/>
  </r>
  <r>
    <n v="536450"/>
    <s v="30871A"/>
    <s v="Jumbo Bag Pink Polkadot"/>
    <n v="17"/>
    <d v="2025-04-07T00:00:00"/>
    <n v="12.53"/>
    <x v="59"/>
    <s v="Italy"/>
    <n v="213.01"/>
  </r>
  <r>
    <n v="536451"/>
    <s v="71760A"/>
    <s v="Jumbo Bag Pink Polkadot"/>
    <n v="23"/>
    <d v="2025-04-08T00:00:00"/>
    <n v="3.68"/>
    <x v="60"/>
    <s v="Italy"/>
    <n v="84.64"/>
  </r>
  <r>
    <n v="536452"/>
    <s v="41748A"/>
    <s v="Glass Star Frosted T-Light Holder"/>
    <n v="19"/>
    <d v="2025-04-09T00:00:00"/>
    <n v="14.12"/>
    <x v="61"/>
    <s v="Belgium"/>
    <n v="268.27999999999997"/>
  </r>
  <r>
    <n v="536453"/>
    <s v="44334A"/>
    <s v="Natural Slate Heart Chalkboard"/>
    <n v="25"/>
    <d v="2025-04-10T00:00:00"/>
    <n v="1.03"/>
    <x v="45"/>
    <s v="United Kingdom"/>
    <n v="25.75"/>
  </r>
  <r>
    <n v="536454"/>
    <s v="96992A"/>
    <s v="Glass Star Frosted T-Light Holder"/>
    <n v="19"/>
    <d v="2025-04-11T00:00:00"/>
    <n v="1.95"/>
    <x v="40"/>
    <s v="United Kingdom"/>
    <n v="37.049999999999997"/>
  </r>
  <r>
    <n v="536455"/>
    <s v="53718A"/>
    <s v="Assorted Colour Bird Ornament"/>
    <n v="4"/>
    <d v="2025-04-12T00:00:00"/>
    <n v="8.2100000000000009"/>
    <x v="42"/>
    <s v="United Kingdom"/>
    <n v="32.840000000000003"/>
  </r>
  <r>
    <n v="536456"/>
    <s v="72416A"/>
    <s v="White Metal Lantern"/>
    <n v="6"/>
    <d v="2025-04-13T00:00:00"/>
    <n v="6.36"/>
    <x v="7"/>
    <s v="France"/>
    <n v="38.159999999999997"/>
  </r>
  <r>
    <n v="536457"/>
    <s v="58802A"/>
    <s v="Lunch Bag Red Retrospot"/>
    <n v="24"/>
    <d v="2025-04-14T00:00:00"/>
    <n v="6.41"/>
    <x v="38"/>
    <s v="Belgium"/>
    <n v="153.84"/>
  </r>
  <r>
    <n v="536458"/>
    <s v="15282A"/>
    <s v="White Metal Lantern"/>
    <n v="13"/>
    <d v="2025-04-15T00:00:00"/>
    <n v="9.83"/>
    <x v="22"/>
    <s v="Belgium"/>
    <n v="127.79"/>
  </r>
  <r>
    <n v="536459"/>
    <s v="81122A"/>
    <s v="Natural Slate Heart Chalkboard"/>
    <n v="7"/>
    <d v="2025-04-16T00:00:00"/>
    <n v="1.41"/>
    <x v="62"/>
    <s v="Belgium"/>
    <n v="9.8699999999999992"/>
  </r>
  <r>
    <n v="536460"/>
    <s v="98581A"/>
    <s v="Jumbo Bag Pink Polkadot"/>
    <n v="29"/>
    <d v="2025-04-17T00:00:00"/>
    <n v="8.86"/>
    <x v="63"/>
    <s v="United Kingdom"/>
    <n v="256.94"/>
  </r>
  <r>
    <n v="536461"/>
    <s v="87520A"/>
    <s v="White Metal Lantern"/>
    <n v="28"/>
    <d v="2025-04-18T00:00:00"/>
    <n v="13.29"/>
    <x v="54"/>
    <s v="Belgium"/>
    <n v="372.12"/>
  </r>
  <r>
    <n v="536462"/>
    <s v="15618A"/>
    <s v="Natural Slate Heart Chalkboard"/>
    <n v="30"/>
    <d v="2025-04-19T00:00:00"/>
    <n v="3.28"/>
    <x v="47"/>
    <s v="United Kingdom"/>
    <n v="98.4"/>
  </r>
  <r>
    <n v="536463"/>
    <s v="43292A"/>
    <s v="Natural Slate Heart Chalkboard"/>
    <n v="4"/>
    <d v="2025-04-20T00:00:00"/>
    <n v="12.67"/>
    <x v="6"/>
    <s v="France"/>
    <n v="50.68"/>
  </r>
  <r>
    <n v="536464"/>
    <s v="37624A"/>
    <s v="Party Bunting"/>
    <n v="10"/>
    <d v="2025-04-21T00:00:00"/>
    <n v="14.36"/>
    <x v="64"/>
    <s v="France"/>
    <n v="14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B814C-BD45-41F2-A1B7-B5454A0471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9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axis="axisRow" showAll="0">
      <items count="66">
        <item x="56"/>
        <item x="30"/>
        <item x="36"/>
        <item x="5"/>
        <item x="38"/>
        <item x="18"/>
        <item x="39"/>
        <item x="44"/>
        <item x="64"/>
        <item x="34"/>
        <item x="22"/>
        <item x="11"/>
        <item x="20"/>
        <item x="24"/>
        <item x="35"/>
        <item x="37"/>
        <item x="50"/>
        <item x="15"/>
        <item x="19"/>
        <item x="49"/>
        <item x="61"/>
        <item x="55"/>
        <item x="59"/>
        <item x="52"/>
        <item x="54"/>
        <item x="12"/>
        <item x="29"/>
        <item x="42"/>
        <item x="26"/>
        <item x="45"/>
        <item x="14"/>
        <item x="58"/>
        <item x="2"/>
        <item x="46"/>
        <item x="3"/>
        <item x="27"/>
        <item x="33"/>
        <item x="63"/>
        <item x="53"/>
        <item x="28"/>
        <item x="31"/>
        <item x="47"/>
        <item x="17"/>
        <item x="57"/>
        <item x="60"/>
        <item x="23"/>
        <item x="9"/>
        <item x="6"/>
        <item x="10"/>
        <item x="41"/>
        <item x="13"/>
        <item x="1"/>
        <item x="48"/>
        <item x="7"/>
        <item x="0"/>
        <item x="62"/>
        <item x="8"/>
        <item x="51"/>
        <item x="21"/>
        <item x="16"/>
        <item x="25"/>
        <item x="40"/>
        <item x="32"/>
        <item x="43"/>
        <item x="4"/>
        <item t="default"/>
      </items>
    </pivotField>
    <pivotField showAll="0"/>
    <pivotField dataField="1" showAll="0"/>
  </pivotFields>
  <rowFields count="1">
    <field x="6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8" baseField="6" baseItem="0"/>
    <dataField name="Distinct Count of InvoiceNo" fld="0" subtotal="count" baseField="6" baseItem="0"/>
    <dataField name="Max of InvoiceDate" fld="4" subtotal="max" baseField="6" baseItem="5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9C95-5BA4-4A99-9AE8-DAA9A7834FA4}">
  <dimension ref="A1"/>
  <sheetViews>
    <sheetView workbookViewId="0">
      <selection activeCell="A3" sqref="A3:I4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21.6640625" bestFit="1" customWidth="1"/>
    <col min="4" max="4" width="10.5546875" bestFit="1" customWidth="1"/>
    <col min="5" max="5" width="15.44140625" bestFit="1" customWidth="1"/>
    <col min="6" max="6" width="10.88671875" bestFit="1" customWidth="1"/>
    <col min="7" max="7" width="13.109375" bestFit="1" customWidth="1"/>
    <col min="8" max="8" width="14" bestFit="1" customWidth="1"/>
    <col min="9" max="9" width="9" bestFit="1" customWidth="1"/>
  </cols>
  <sheetData>
    <row r="1" spans="1:1" x14ac:dyDescent="0.3">
      <c r="A1" s="7" t="s">
        <v>128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7013-C30E-4FE4-A734-6D99B0FDA9BA}">
  <dimension ref="A1:E5"/>
  <sheetViews>
    <sheetView workbookViewId="0">
      <selection activeCell="A3" sqref="A3:I5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21.6640625" bestFit="1" customWidth="1"/>
    <col min="4" max="4" width="10.5546875" bestFit="1" customWidth="1"/>
    <col min="5" max="5" width="13.21875" bestFit="1" customWidth="1"/>
    <col min="6" max="6" width="10.88671875" bestFit="1" customWidth="1"/>
    <col min="7" max="7" width="13.109375" bestFit="1" customWidth="1"/>
    <col min="8" max="8" width="10" bestFit="1" customWidth="1"/>
    <col min="9" max="9" width="9" bestFit="1" customWidth="1"/>
  </cols>
  <sheetData>
    <row r="1" spans="1:5" x14ac:dyDescent="0.3">
      <c r="A1" s="7" t="s">
        <v>129</v>
      </c>
    </row>
    <row r="4" spans="1:5" x14ac:dyDescent="0.3">
      <c r="E4" s="8"/>
    </row>
    <row r="5" spans="1:5" x14ac:dyDescent="0.3">
      <c r="E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8C6B-E47F-4F4C-90A9-B74B56B7A76D}">
  <dimension ref="A1:L66"/>
  <sheetViews>
    <sheetView workbookViewId="0">
      <selection activeCell="J12" sqref="J12"/>
    </sheetView>
  </sheetViews>
  <sheetFormatPr defaultRowHeight="14.4" x14ac:dyDescent="0.3"/>
  <cols>
    <col min="1" max="1" width="11.5546875" customWidth="1"/>
    <col min="2" max="2" width="13.88671875" customWidth="1"/>
    <col min="3" max="3" width="24.109375" customWidth="1"/>
    <col min="4" max="4" width="18.77734375" customWidth="1"/>
    <col min="5" max="6" width="10.33203125" bestFit="1" customWidth="1"/>
  </cols>
  <sheetData>
    <row r="1" spans="1:12" x14ac:dyDescent="0.3">
      <c r="A1" s="2" t="s">
        <v>124</v>
      </c>
      <c r="B1" s="2" t="s">
        <v>123</v>
      </c>
      <c r="C1" s="2" t="s">
        <v>127</v>
      </c>
      <c r="D1" s="2" t="s">
        <v>126</v>
      </c>
      <c r="F1" s="9" t="s">
        <v>130</v>
      </c>
      <c r="G1" s="9" t="s">
        <v>131</v>
      </c>
      <c r="H1" s="9" t="s">
        <v>132</v>
      </c>
    </row>
    <row r="2" spans="1:12" x14ac:dyDescent="0.3">
      <c r="A2" s="4">
        <v>17851</v>
      </c>
      <c r="B2">
        <v>379.86</v>
      </c>
      <c r="C2">
        <v>1</v>
      </c>
      <c r="D2" s="8">
        <v>45746</v>
      </c>
      <c r="E2">
        <f>MAX(D:D)-D2</f>
        <v>23</v>
      </c>
      <c r="F2">
        <f>5-ROUND(_xlfn.PERCENTRANK.INC($E$2:$E$100,E2)*4,0)</f>
        <v>3</v>
      </c>
      <c r="G2">
        <f>MAX(1,ROUNDUP(_xlfn.PERCENTRANK.INC($C$2:$C$100,C2)*5,0))</f>
        <v>1</v>
      </c>
      <c r="H2">
        <f>MAX(1,ROUNDUP(_xlfn.PERCENTRANK.INC($B$2:$B$100,B2)*5,0))</f>
        <v>5</v>
      </c>
    </row>
    <row r="3" spans="1:12" x14ac:dyDescent="0.3">
      <c r="A3" s="4">
        <v>17852</v>
      </c>
      <c r="B3">
        <v>140.75</v>
      </c>
      <c r="C3">
        <v>2</v>
      </c>
      <c r="D3" s="8">
        <v>45736</v>
      </c>
      <c r="E3">
        <f t="shared" ref="E3:E66" si="0">MAX(D:D)-D3</f>
        <v>33</v>
      </c>
      <c r="F3">
        <f t="shared" ref="F3:F66" si="1">5-ROUND(_xlfn.PERCENTRANK.INC($E$2:$E$100,E3)*4,0)</f>
        <v>3</v>
      </c>
      <c r="G3">
        <f t="shared" ref="G3:G66" si="2">MAX(1,ROUNDUP(_xlfn.PERCENTRANK.INC($C$2:$C$100,C3)*5,0))</f>
        <v>3</v>
      </c>
      <c r="H3">
        <f t="shared" ref="H3:H66" si="3">MAX(1,ROUNDUP(_xlfn.PERCENTRANK.INC($B$2:$B$100,B3)*5,0))</f>
        <v>3</v>
      </c>
    </row>
    <row r="4" spans="1:12" x14ac:dyDescent="0.3">
      <c r="A4" s="4">
        <v>17853</v>
      </c>
      <c r="B4">
        <v>389.86</v>
      </c>
      <c r="C4">
        <v>2</v>
      </c>
      <c r="D4" s="8">
        <v>45728</v>
      </c>
      <c r="E4">
        <f t="shared" si="0"/>
        <v>41</v>
      </c>
      <c r="F4">
        <f t="shared" si="1"/>
        <v>3</v>
      </c>
      <c r="G4">
        <f t="shared" si="2"/>
        <v>3</v>
      </c>
      <c r="H4">
        <f t="shared" si="3"/>
        <v>5</v>
      </c>
      <c r="L4" t="s">
        <v>133</v>
      </c>
    </row>
    <row r="5" spans="1:12" x14ac:dyDescent="0.3">
      <c r="A5" s="4">
        <v>17855</v>
      </c>
      <c r="B5">
        <v>76.25</v>
      </c>
      <c r="C5">
        <v>2</v>
      </c>
      <c r="D5" s="8">
        <v>45744</v>
      </c>
      <c r="E5">
        <f t="shared" si="0"/>
        <v>25</v>
      </c>
      <c r="F5">
        <f t="shared" si="1"/>
        <v>3</v>
      </c>
      <c r="G5">
        <f t="shared" si="2"/>
        <v>3</v>
      </c>
      <c r="H5">
        <f t="shared" si="3"/>
        <v>1</v>
      </c>
    </row>
    <row r="6" spans="1:12" x14ac:dyDescent="0.3">
      <c r="A6" s="4">
        <v>17856</v>
      </c>
      <c r="B6">
        <v>401.03999999999996</v>
      </c>
      <c r="C6">
        <v>2</v>
      </c>
      <c r="D6" s="8">
        <v>45761</v>
      </c>
      <c r="E6">
        <f t="shared" si="0"/>
        <v>8</v>
      </c>
      <c r="F6">
        <f t="shared" si="1"/>
        <v>4</v>
      </c>
      <c r="G6">
        <f t="shared" si="2"/>
        <v>3</v>
      </c>
      <c r="H6">
        <f t="shared" si="3"/>
        <v>5</v>
      </c>
    </row>
    <row r="7" spans="1:12" x14ac:dyDescent="0.3">
      <c r="A7" s="4">
        <v>17857</v>
      </c>
      <c r="B7">
        <v>123.3</v>
      </c>
      <c r="C7">
        <v>2</v>
      </c>
      <c r="D7" s="8">
        <v>45701</v>
      </c>
      <c r="E7">
        <f t="shared" si="0"/>
        <v>68</v>
      </c>
      <c r="F7">
        <f t="shared" si="1"/>
        <v>2</v>
      </c>
      <c r="G7">
        <f t="shared" si="2"/>
        <v>3</v>
      </c>
      <c r="H7">
        <f t="shared" si="3"/>
        <v>2</v>
      </c>
    </row>
    <row r="8" spans="1:12" x14ac:dyDescent="0.3">
      <c r="A8" s="4">
        <v>17858</v>
      </c>
      <c r="B8">
        <v>2.8</v>
      </c>
      <c r="C8">
        <v>1</v>
      </c>
      <c r="D8" s="8">
        <v>45713</v>
      </c>
      <c r="E8">
        <f t="shared" si="0"/>
        <v>56</v>
      </c>
      <c r="F8">
        <f t="shared" si="1"/>
        <v>2</v>
      </c>
      <c r="G8">
        <f t="shared" si="2"/>
        <v>1</v>
      </c>
      <c r="H8">
        <f t="shared" si="3"/>
        <v>1</v>
      </c>
    </row>
    <row r="9" spans="1:12" x14ac:dyDescent="0.3">
      <c r="A9" s="4">
        <v>17859</v>
      </c>
      <c r="B9">
        <v>79.5</v>
      </c>
      <c r="C9">
        <v>2</v>
      </c>
      <c r="D9" s="8">
        <v>45734</v>
      </c>
      <c r="E9">
        <f t="shared" si="0"/>
        <v>35</v>
      </c>
      <c r="F9">
        <f t="shared" si="1"/>
        <v>3</v>
      </c>
      <c r="G9">
        <f t="shared" si="2"/>
        <v>3</v>
      </c>
      <c r="H9">
        <f t="shared" si="3"/>
        <v>2</v>
      </c>
    </row>
    <row r="10" spans="1:12" x14ac:dyDescent="0.3">
      <c r="A10" s="4">
        <v>17860</v>
      </c>
      <c r="B10">
        <v>143.6</v>
      </c>
      <c r="C10">
        <v>1</v>
      </c>
      <c r="D10" s="8">
        <v>45768</v>
      </c>
      <c r="E10">
        <f t="shared" si="0"/>
        <v>1</v>
      </c>
      <c r="F10">
        <f t="shared" si="1"/>
        <v>5</v>
      </c>
      <c r="G10">
        <f t="shared" si="2"/>
        <v>1</v>
      </c>
      <c r="H10">
        <f t="shared" si="3"/>
        <v>3</v>
      </c>
    </row>
    <row r="11" spans="1:12" x14ac:dyDescent="0.3">
      <c r="A11" s="4">
        <v>17861</v>
      </c>
      <c r="B11">
        <v>199.29</v>
      </c>
      <c r="C11">
        <v>1</v>
      </c>
      <c r="D11" s="8">
        <v>45708</v>
      </c>
      <c r="E11">
        <f t="shared" si="0"/>
        <v>61</v>
      </c>
      <c r="F11">
        <f t="shared" si="1"/>
        <v>2</v>
      </c>
      <c r="G11">
        <f t="shared" si="2"/>
        <v>1</v>
      </c>
      <c r="H11">
        <f t="shared" si="3"/>
        <v>3</v>
      </c>
    </row>
    <row r="12" spans="1:12" x14ac:dyDescent="0.3">
      <c r="A12" s="4">
        <v>17862</v>
      </c>
      <c r="B12">
        <v>149.74</v>
      </c>
      <c r="C12">
        <v>2</v>
      </c>
      <c r="D12" s="8">
        <v>45762</v>
      </c>
      <c r="E12">
        <f t="shared" si="0"/>
        <v>7</v>
      </c>
      <c r="F12">
        <f t="shared" si="1"/>
        <v>4</v>
      </c>
      <c r="G12">
        <f t="shared" si="2"/>
        <v>3</v>
      </c>
      <c r="H12">
        <f t="shared" si="3"/>
        <v>3</v>
      </c>
    </row>
    <row r="13" spans="1:12" x14ac:dyDescent="0.3">
      <c r="A13" s="4">
        <v>17865</v>
      </c>
      <c r="B13">
        <v>89.28</v>
      </c>
      <c r="C13">
        <v>1</v>
      </c>
      <c r="D13" s="8">
        <v>45680</v>
      </c>
      <c r="E13">
        <f t="shared" si="0"/>
        <v>89</v>
      </c>
      <c r="F13">
        <f t="shared" si="1"/>
        <v>1</v>
      </c>
      <c r="G13">
        <f t="shared" si="2"/>
        <v>1</v>
      </c>
      <c r="H13">
        <f t="shared" si="3"/>
        <v>2</v>
      </c>
    </row>
    <row r="14" spans="1:12" x14ac:dyDescent="0.3">
      <c r="A14" s="4">
        <v>17868</v>
      </c>
      <c r="B14">
        <v>394</v>
      </c>
      <c r="C14">
        <v>3</v>
      </c>
      <c r="D14" s="8">
        <v>45743</v>
      </c>
      <c r="E14">
        <f t="shared" si="0"/>
        <v>26</v>
      </c>
      <c r="F14">
        <f t="shared" si="1"/>
        <v>3</v>
      </c>
      <c r="G14">
        <f t="shared" si="2"/>
        <v>5</v>
      </c>
      <c r="H14">
        <f t="shared" si="3"/>
        <v>5</v>
      </c>
    </row>
    <row r="15" spans="1:12" x14ac:dyDescent="0.3">
      <c r="A15" s="4">
        <v>17869</v>
      </c>
      <c r="B15">
        <v>352.64</v>
      </c>
      <c r="C15">
        <v>1</v>
      </c>
      <c r="D15" s="8">
        <v>45695</v>
      </c>
      <c r="E15">
        <f t="shared" si="0"/>
        <v>74</v>
      </c>
      <c r="F15">
        <f t="shared" si="1"/>
        <v>2</v>
      </c>
      <c r="G15">
        <f t="shared" si="2"/>
        <v>1</v>
      </c>
      <c r="H15">
        <f t="shared" si="3"/>
        <v>5</v>
      </c>
    </row>
    <row r="16" spans="1:12" x14ac:dyDescent="0.3">
      <c r="A16" s="4">
        <v>17871</v>
      </c>
      <c r="B16">
        <v>204.48</v>
      </c>
      <c r="C16">
        <v>1</v>
      </c>
      <c r="D16" s="8">
        <v>45709</v>
      </c>
      <c r="E16">
        <f t="shared" si="0"/>
        <v>60</v>
      </c>
      <c r="F16">
        <f t="shared" si="1"/>
        <v>2</v>
      </c>
      <c r="G16">
        <f t="shared" si="2"/>
        <v>1</v>
      </c>
      <c r="H16">
        <f t="shared" si="3"/>
        <v>4</v>
      </c>
    </row>
    <row r="17" spans="1:8" x14ac:dyDescent="0.3">
      <c r="A17" s="4">
        <v>17872</v>
      </c>
      <c r="B17">
        <v>238.08</v>
      </c>
      <c r="C17">
        <v>2</v>
      </c>
      <c r="D17" s="8">
        <v>45714</v>
      </c>
      <c r="E17">
        <f t="shared" si="0"/>
        <v>55</v>
      </c>
      <c r="F17">
        <f t="shared" si="1"/>
        <v>2</v>
      </c>
      <c r="G17">
        <f t="shared" si="2"/>
        <v>3</v>
      </c>
      <c r="H17">
        <f t="shared" si="3"/>
        <v>4</v>
      </c>
    </row>
    <row r="18" spans="1:8" x14ac:dyDescent="0.3">
      <c r="A18" s="4">
        <v>17875</v>
      </c>
      <c r="B18">
        <v>268.75</v>
      </c>
      <c r="C18">
        <v>2</v>
      </c>
      <c r="D18" s="8">
        <v>45751</v>
      </c>
      <c r="E18">
        <f t="shared" si="0"/>
        <v>18</v>
      </c>
      <c r="F18">
        <f t="shared" si="1"/>
        <v>4</v>
      </c>
      <c r="G18">
        <f t="shared" si="2"/>
        <v>3</v>
      </c>
      <c r="H18">
        <f t="shared" si="3"/>
        <v>4</v>
      </c>
    </row>
    <row r="19" spans="1:8" x14ac:dyDescent="0.3">
      <c r="A19" s="4">
        <v>17876</v>
      </c>
      <c r="B19">
        <v>423.49</v>
      </c>
      <c r="C19">
        <v>2</v>
      </c>
      <c r="D19" s="8">
        <v>45722</v>
      </c>
      <c r="E19">
        <f t="shared" si="0"/>
        <v>47</v>
      </c>
      <c r="F19">
        <f t="shared" si="1"/>
        <v>2</v>
      </c>
      <c r="G19">
        <f t="shared" si="2"/>
        <v>3</v>
      </c>
      <c r="H19">
        <f t="shared" si="3"/>
        <v>5</v>
      </c>
    </row>
    <row r="20" spans="1:8" x14ac:dyDescent="0.3">
      <c r="A20" s="4">
        <v>17877</v>
      </c>
      <c r="B20">
        <v>227.19</v>
      </c>
      <c r="C20">
        <v>2</v>
      </c>
      <c r="D20" s="8">
        <v>45739</v>
      </c>
      <c r="E20">
        <f t="shared" si="0"/>
        <v>30</v>
      </c>
      <c r="F20">
        <f t="shared" si="1"/>
        <v>3</v>
      </c>
      <c r="G20">
        <f t="shared" si="2"/>
        <v>3</v>
      </c>
      <c r="H20">
        <f t="shared" si="3"/>
        <v>4</v>
      </c>
    </row>
    <row r="21" spans="1:8" x14ac:dyDescent="0.3">
      <c r="A21" s="4">
        <v>17878</v>
      </c>
      <c r="B21">
        <v>32.729999999999997</v>
      </c>
      <c r="C21">
        <v>1</v>
      </c>
      <c r="D21" s="8">
        <v>45731</v>
      </c>
      <c r="E21">
        <f t="shared" si="0"/>
        <v>38</v>
      </c>
      <c r="F21">
        <f t="shared" si="1"/>
        <v>3</v>
      </c>
      <c r="G21">
        <f t="shared" si="2"/>
        <v>1</v>
      </c>
      <c r="H21">
        <f t="shared" si="3"/>
        <v>1</v>
      </c>
    </row>
    <row r="22" spans="1:8" x14ac:dyDescent="0.3">
      <c r="A22" s="4">
        <v>17879</v>
      </c>
      <c r="B22">
        <v>268.27999999999997</v>
      </c>
      <c r="C22">
        <v>1</v>
      </c>
      <c r="D22" s="8">
        <v>45756</v>
      </c>
      <c r="E22">
        <f t="shared" si="0"/>
        <v>13</v>
      </c>
      <c r="F22">
        <f t="shared" si="1"/>
        <v>4</v>
      </c>
      <c r="G22">
        <f t="shared" si="2"/>
        <v>1</v>
      </c>
      <c r="H22">
        <f t="shared" si="3"/>
        <v>4</v>
      </c>
    </row>
    <row r="23" spans="1:8" x14ac:dyDescent="0.3">
      <c r="A23" s="4">
        <v>17883</v>
      </c>
      <c r="B23">
        <v>143.44</v>
      </c>
      <c r="C23">
        <v>1</v>
      </c>
      <c r="D23" s="8">
        <v>45742</v>
      </c>
      <c r="E23">
        <f t="shared" si="0"/>
        <v>27</v>
      </c>
      <c r="F23">
        <f t="shared" si="1"/>
        <v>3</v>
      </c>
      <c r="G23">
        <f t="shared" si="2"/>
        <v>1</v>
      </c>
      <c r="H23">
        <f t="shared" si="3"/>
        <v>3</v>
      </c>
    </row>
    <row r="24" spans="1:8" x14ac:dyDescent="0.3">
      <c r="A24" s="4">
        <v>17885</v>
      </c>
      <c r="B24">
        <v>213.01</v>
      </c>
      <c r="C24">
        <v>1</v>
      </c>
      <c r="D24" s="8">
        <v>45754</v>
      </c>
      <c r="E24">
        <f t="shared" si="0"/>
        <v>15</v>
      </c>
      <c r="F24">
        <f t="shared" si="1"/>
        <v>4</v>
      </c>
      <c r="G24">
        <f t="shared" si="2"/>
        <v>1</v>
      </c>
      <c r="H24">
        <f t="shared" si="3"/>
        <v>4</v>
      </c>
    </row>
    <row r="25" spans="1:8" x14ac:dyDescent="0.3">
      <c r="A25" s="4">
        <v>17887</v>
      </c>
      <c r="B25">
        <v>114.7</v>
      </c>
      <c r="C25">
        <v>1</v>
      </c>
      <c r="D25" s="8">
        <v>45735</v>
      </c>
      <c r="E25">
        <f t="shared" si="0"/>
        <v>34</v>
      </c>
      <c r="F25">
        <f t="shared" si="1"/>
        <v>3</v>
      </c>
      <c r="G25">
        <f t="shared" si="2"/>
        <v>1</v>
      </c>
      <c r="H25">
        <f t="shared" si="3"/>
        <v>2</v>
      </c>
    </row>
    <row r="26" spans="1:8" x14ac:dyDescent="0.3">
      <c r="A26" s="4">
        <v>17889</v>
      </c>
      <c r="B26">
        <v>565.29999999999995</v>
      </c>
      <c r="C26">
        <v>2</v>
      </c>
      <c r="D26" s="8">
        <v>45765</v>
      </c>
      <c r="E26">
        <f t="shared" si="0"/>
        <v>4</v>
      </c>
      <c r="F26">
        <f t="shared" si="1"/>
        <v>5</v>
      </c>
      <c r="G26">
        <f t="shared" si="2"/>
        <v>3</v>
      </c>
      <c r="H26">
        <f t="shared" si="3"/>
        <v>5</v>
      </c>
    </row>
    <row r="27" spans="1:8" x14ac:dyDescent="0.3">
      <c r="A27" s="4">
        <v>17890</v>
      </c>
      <c r="B27">
        <v>51.55</v>
      </c>
      <c r="C27">
        <v>1</v>
      </c>
      <c r="D27" s="8">
        <v>45681</v>
      </c>
      <c r="E27">
        <f t="shared" si="0"/>
        <v>88</v>
      </c>
      <c r="F27">
        <f t="shared" si="1"/>
        <v>1</v>
      </c>
      <c r="G27">
        <f t="shared" si="2"/>
        <v>1</v>
      </c>
      <c r="H27">
        <f t="shared" si="3"/>
        <v>1</v>
      </c>
    </row>
    <row r="28" spans="1:8" x14ac:dyDescent="0.3">
      <c r="A28" s="4">
        <v>17891</v>
      </c>
      <c r="B28">
        <v>517.80000000000007</v>
      </c>
      <c r="C28">
        <v>2</v>
      </c>
      <c r="D28" s="8">
        <v>45740</v>
      </c>
      <c r="E28">
        <f t="shared" si="0"/>
        <v>29</v>
      </c>
      <c r="F28">
        <f t="shared" si="1"/>
        <v>3</v>
      </c>
      <c r="G28">
        <f t="shared" si="2"/>
        <v>3</v>
      </c>
      <c r="H28">
        <f t="shared" si="3"/>
        <v>5</v>
      </c>
    </row>
    <row r="29" spans="1:8" x14ac:dyDescent="0.3">
      <c r="A29" s="4">
        <v>17892</v>
      </c>
      <c r="B29">
        <v>296.12</v>
      </c>
      <c r="C29">
        <v>2</v>
      </c>
      <c r="D29" s="8">
        <v>45759</v>
      </c>
      <c r="E29">
        <f t="shared" si="0"/>
        <v>10</v>
      </c>
      <c r="F29">
        <f t="shared" si="1"/>
        <v>4</v>
      </c>
      <c r="G29">
        <f t="shared" si="2"/>
        <v>3</v>
      </c>
      <c r="H29">
        <f t="shared" si="3"/>
        <v>4</v>
      </c>
    </row>
    <row r="30" spans="1:8" x14ac:dyDescent="0.3">
      <c r="A30" s="4">
        <v>17895</v>
      </c>
      <c r="B30">
        <v>71.12</v>
      </c>
      <c r="C30">
        <v>1</v>
      </c>
      <c r="D30" s="8">
        <v>45697</v>
      </c>
      <c r="E30">
        <f t="shared" si="0"/>
        <v>72</v>
      </c>
      <c r="F30">
        <f t="shared" si="1"/>
        <v>2</v>
      </c>
      <c r="G30">
        <f t="shared" si="2"/>
        <v>1</v>
      </c>
      <c r="H30">
        <f t="shared" si="3"/>
        <v>1</v>
      </c>
    </row>
    <row r="31" spans="1:8" x14ac:dyDescent="0.3">
      <c r="A31" s="4">
        <v>17896</v>
      </c>
      <c r="B31">
        <v>141.44</v>
      </c>
      <c r="C31">
        <v>2</v>
      </c>
      <c r="D31" s="8">
        <v>45757</v>
      </c>
      <c r="E31">
        <f t="shared" si="0"/>
        <v>12</v>
      </c>
      <c r="F31">
        <f t="shared" si="1"/>
        <v>4</v>
      </c>
      <c r="G31">
        <f t="shared" si="2"/>
        <v>3</v>
      </c>
      <c r="H31">
        <f t="shared" si="3"/>
        <v>3</v>
      </c>
    </row>
    <row r="32" spans="1:8" x14ac:dyDescent="0.3">
      <c r="A32" s="4">
        <v>17897</v>
      </c>
      <c r="B32">
        <v>127.02</v>
      </c>
      <c r="C32">
        <v>2</v>
      </c>
      <c r="D32" s="8">
        <v>45700</v>
      </c>
      <c r="E32">
        <f t="shared" si="0"/>
        <v>69</v>
      </c>
      <c r="F32">
        <f t="shared" si="1"/>
        <v>2</v>
      </c>
      <c r="G32">
        <f t="shared" si="2"/>
        <v>3</v>
      </c>
      <c r="H32">
        <f t="shared" si="3"/>
        <v>2</v>
      </c>
    </row>
    <row r="33" spans="1:8" x14ac:dyDescent="0.3">
      <c r="A33" s="4">
        <v>17900</v>
      </c>
      <c r="B33">
        <v>201.32</v>
      </c>
      <c r="C33">
        <v>1</v>
      </c>
      <c r="D33" s="8">
        <v>45750</v>
      </c>
      <c r="E33">
        <f t="shared" si="0"/>
        <v>19</v>
      </c>
      <c r="F33">
        <f t="shared" si="1"/>
        <v>4</v>
      </c>
      <c r="G33">
        <f t="shared" si="2"/>
        <v>1</v>
      </c>
      <c r="H33">
        <f t="shared" si="3"/>
        <v>3</v>
      </c>
    </row>
    <row r="34" spans="1:8" x14ac:dyDescent="0.3">
      <c r="A34" s="4">
        <v>17901</v>
      </c>
      <c r="B34">
        <v>233.81</v>
      </c>
      <c r="C34">
        <v>3</v>
      </c>
      <c r="D34" s="8">
        <v>45767</v>
      </c>
      <c r="E34">
        <f t="shared" si="0"/>
        <v>2</v>
      </c>
      <c r="F34">
        <f t="shared" si="1"/>
        <v>5</v>
      </c>
      <c r="G34">
        <f t="shared" si="2"/>
        <v>5</v>
      </c>
      <c r="H34">
        <f t="shared" si="3"/>
        <v>4</v>
      </c>
    </row>
    <row r="35" spans="1:8" x14ac:dyDescent="0.3">
      <c r="A35" s="4">
        <v>17902</v>
      </c>
      <c r="B35">
        <v>105.36</v>
      </c>
      <c r="C35">
        <v>1</v>
      </c>
      <c r="D35" s="8">
        <v>45727</v>
      </c>
      <c r="E35">
        <f t="shared" si="0"/>
        <v>42</v>
      </c>
      <c r="F35">
        <f t="shared" si="1"/>
        <v>3</v>
      </c>
      <c r="G35">
        <f t="shared" si="2"/>
        <v>1</v>
      </c>
      <c r="H35">
        <f t="shared" si="3"/>
        <v>2</v>
      </c>
    </row>
    <row r="36" spans="1:8" x14ac:dyDescent="0.3">
      <c r="A36" s="4">
        <v>17904</v>
      </c>
      <c r="B36">
        <v>247.92</v>
      </c>
      <c r="C36">
        <v>1</v>
      </c>
      <c r="D36" s="8">
        <v>45672</v>
      </c>
      <c r="E36">
        <f t="shared" si="0"/>
        <v>97</v>
      </c>
      <c r="F36">
        <f t="shared" si="1"/>
        <v>1</v>
      </c>
      <c r="G36">
        <f t="shared" si="2"/>
        <v>1</v>
      </c>
      <c r="H36">
        <f t="shared" si="3"/>
        <v>4</v>
      </c>
    </row>
    <row r="37" spans="1:8" x14ac:dyDescent="0.3">
      <c r="A37" s="4">
        <v>17905</v>
      </c>
      <c r="B37">
        <v>14.56</v>
      </c>
      <c r="C37">
        <v>1</v>
      </c>
      <c r="D37" s="8">
        <v>45698</v>
      </c>
      <c r="E37">
        <f t="shared" si="0"/>
        <v>71</v>
      </c>
      <c r="F37">
        <f t="shared" si="1"/>
        <v>2</v>
      </c>
      <c r="G37">
        <f t="shared" si="2"/>
        <v>1</v>
      </c>
      <c r="H37">
        <f t="shared" si="3"/>
        <v>1</v>
      </c>
    </row>
    <row r="38" spans="1:8" x14ac:dyDescent="0.3">
      <c r="A38" s="4">
        <v>17906</v>
      </c>
      <c r="B38">
        <v>147.84</v>
      </c>
      <c r="C38">
        <v>1</v>
      </c>
      <c r="D38" s="8">
        <v>45707</v>
      </c>
      <c r="E38">
        <f t="shared" si="0"/>
        <v>62</v>
      </c>
      <c r="F38">
        <f t="shared" si="1"/>
        <v>2</v>
      </c>
      <c r="G38">
        <f t="shared" si="2"/>
        <v>1</v>
      </c>
      <c r="H38">
        <f t="shared" si="3"/>
        <v>3</v>
      </c>
    </row>
    <row r="39" spans="1:8" x14ac:dyDescent="0.3">
      <c r="A39" s="4">
        <v>17907</v>
      </c>
      <c r="B39">
        <v>256.94</v>
      </c>
      <c r="C39">
        <v>1</v>
      </c>
      <c r="D39" s="8">
        <v>45764</v>
      </c>
      <c r="E39">
        <f t="shared" si="0"/>
        <v>5</v>
      </c>
      <c r="F39">
        <f t="shared" si="1"/>
        <v>5</v>
      </c>
      <c r="G39">
        <f t="shared" si="2"/>
        <v>1</v>
      </c>
      <c r="H39">
        <f t="shared" si="3"/>
        <v>4</v>
      </c>
    </row>
    <row r="40" spans="1:8" x14ac:dyDescent="0.3">
      <c r="A40" s="4">
        <v>17909</v>
      </c>
      <c r="B40">
        <v>8.6199999999999992</v>
      </c>
      <c r="C40">
        <v>1</v>
      </c>
      <c r="D40" s="8">
        <v>45738</v>
      </c>
      <c r="E40">
        <f t="shared" si="0"/>
        <v>31</v>
      </c>
      <c r="F40">
        <f t="shared" si="1"/>
        <v>3</v>
      </c>
      <c r="G40">
        <f t="shared" si="2"/>
        <v>1</v>
      </c>
      <c r="H40">
        <f t="shared" si="3"/>
        <v>1</v>
      </c>
    </row>
    <row r="41" spans="1:8" x14ac:dyDescent="0.3">
      <c r="A41" s="4">
        <v>17910</v>
      </c>
      <c r="B41">
        <v>111.81</v>
      </c>
      <c r="C41">
        <v>2</v>
      </c>
      <c r="D41" s="8">
        <v>45705</v>
      </c>
      <c r="E41">
        <f t="shared" si="0"/>
        <v>64</v>
      </c>
      <c r="F41">
        <f t="shared" si="1"/>
        <v>2</v>
      </c>
      <c r="G41">
        <f t="shared" si="2"/>
        <v>3</v>
      </c>
      <c r="H41">
        <f t="shared" si="3"/>
        <v>2</v>
      </c>
    </row>
    <row r="42" spans="1:8" x14ac:dyDescent="0.3">
      <c r="A42" s="4">
        <v>17911</v>
      </c>
      <c r="B42">
        <v>144.72</v>
      </c>
      <c r="C42">
        <v>1</v>
      </c>
      <c r="D42" s="8">
        <v>45704</v>
      </c>
      <c r="E42">
        <f t="shared" si="0"/>
        <v>65</v>
      </c>
      <c r="F42">
        <f t="shared" si="1"/>
        <v>2</v>
      </c>
      <c r="G42">
        <f t="shared" si="2"/>
        <v>1</v>
      </c>
      <c r="H42">
        <f t="shared" si="3"/>
        <v>3</v>
      </c>
    </row>
    <row r="43" spans="1:8" x14ac:dyDescent="0.3">
      <c r="A43" s="4">
        <v>17912</v>
      </c>
      <c r="B43">
        <v>344.15999999999997</v>
      </c>
      <c r="C43">
        <v>2</v>
      </c>
      <c r="D43" s="8">
        <v>45766</v>
      </c>
      <c r="E43">
        <f t="shared" si="0"/>
        <v>3</v>
      </c>
      <c r="F43">
        <f t="shared" si="1"/>
        <v>5</v>
      </c>
      <c r="G43">
        <f t="shared" si="2"/>
        <v>3</v>
      </c>
      <c r="H43">
        <f t="shared" si="3"/>
        <v>5</v>
      </c>
    </row>
    <row r="44" spans="1:8" x14ac:dyDescent="0.3">
      <c r="A44" s="4">
        <v>17913</v>
      </c>
      <c r="B44">
        <v>20.9</v>
      </c>
      <c r="C44">
        <v>1</v>
      </c>
      <c r="D44" s="8">
        <v>45687</v>
      </c>
      <c r="E44">
        <f t="shared" si="0"/>
        <v>82</v>
      </c>
      <c r="F44">
        <f t="shared" si="1"/>
        <v>1</v>
      </c>
      <c r="G44">
        <f t="shared" si="2"/>
        <v>1</v>
      </c>
      <c r="H44">
        <f t="shared" si="3"/>
        <v>1</v>
      </c>
    </row>
    <row r="45" spans="1:8" x14ac:dyDescent="0.3">
      <c r="A45" s="4">
        <v>17914</v>
      </c>
      <c r="B45">
        <v>10.08</v>
      </c>
      <c r="C45">
        <v>1</v>
      </c>
      <c r="D45" s="8">
        <v>45749</v>
      </c>
      <c r="E45">
        <f t="shared" si="0"/>
        <v>20</v>
      </c>
      <c r="F45">
        <f t="shared" si="1"/>
        <v>4</v>
      </c>
      <c r="G45">
        <f t="shared" si="2"/>
        <v>1</v>
      </c>
      <c r="H45">
        <f t="shared" si="3"/>
        <v>1</v>
      </c>
    </row>
    <row r="46" spans="1:8" x14ac:dyDescent="0.3">
      <c r="A46" s="4">
        <v>17915</v>
      </c>
      <c r="B46">
        <v>84.64</v>
      </c>
      <c r="C46">
        <v>1</v>
      </c>
      <c r="D46" s="8">
        <v>45755</v>
      </c>
      <c r="E46">
        <f t="shared" si="0"/>
        <v>14</v>
      </c>
      <c r="F46">
        <f t="shared" si="1"/>
        <v>4</v>
      </c>
      <c r="G46">
        <f t="shared" si="2"/>
        <v>1</v>
      </c>
      <c r="H46">
        <f t="shared" si="3"/>
        <v>2</v>
      </c>
    </row>
    <row r="47" spans="1:8" x14ac:dyDescent="0.3">
      <c r="A47" s="4">
        <v>17917</v>
      </c>
      <c r="B47">
        <v>303.13</v>
      </c>
      <c r="C47">
        <v>2</v>
      </c>
      <c r="D47" s="8">
        <v>45748</v>
      </c>
      <c r="E47">
        <f t="shared" si="0"/>
        <v>21</v>
      </c>
      <c r="F47">
        <f t="shared" si="1"/>
        <v>4</v>
      </c>
      <c r="G47">
        <f t="shared" si="2"/>
        <v>3</v>
      </c>
      <c r="H47">
        <f t="shared" si="3"/>
        <v>5</v>
      </c>
    </row>
    <row r="48" spans="1:8" x14ac:dyDescent="0.3">
      <c r="A48" s="4">
        <v>17918</v>
      </c>
      <c r="B48">
        <v>142.12</v>
      </c>
      <c r="C48">
        <v>1</v>
      </c>
      <c r="D48" s="8">
        <v>45678</v>
      </c>
      <c r="E48">
        <f t="shared" si="0"/>
        <v>91</v>
      </c>
      <c r="F48">
        <f t="shared" si="1"/>
        <v>1</v>
      </c>
      <c r="G48">
        <f t="shared" si="2"/>
        <v>1</v>
      </c>
      <c r="H48">
        <f t="shared" si="3"/>
        <v>3</v>
      </c>
    </row>
    <row r="49" spans="1:8" x14ac:dyDescent="0.3">
      <c r="A49" s="4">
        <v>17921</v>
      </c>
      <c r="B49">
        <v>174.76</v>
      </c>
      <c r="C49">
        <v>2</v>
      </c>
      <c r="D49" s="8">
        <v>45767</v>
      </c>
      <c r="E49">
        <f t="shared" si="0"/>
        <v>2</v>
      </c>
      <c r="F49">
        <f t="shared" si="1"/>
        <v>5</v>
      </c>
      <c r="G49">
        <f t="shared" si="2"/>
        <v>3</v>
      </c>
      <c r="H49">
        <f t="shared" si="3"/>
        <v>3</v>
      </c>
    </row>
    <row r="50" spans="1:8" x14ac:dyDescent="0.3">
      <c r="A50" s="4">
        <v>17922</v>
      </c>
      <c r="B50">
        <v>19.72</v>
      </c>
      <c r="C50">
        <v>2</v>
      </c>
      <c r="D50" s="8">
        <v>45721</v>
      </c>
      <c r="E50">
        <f t="shared" si="0"/>
        <v>48</v>
      </c>
      <c r="F50">
        <f t="shared" si="1"/>
        <v>2</v>
      </c>
      <c r="G50">
        <f t="shared" si="2"/>
        <v>3</v>
      </c>
      <c r="H50">
        <f t="shared" si="3"/>
        <v>1</v>
      </c>
    </row>
    <row r="51" spans="1:8" x14ac:dyDescent="0.3">
      <c r="A51" s="4">
        <v>17924</v>
      </c>
      <c r="B51">
        <v>128.83000000000001</v>
      </c>
      <c r="C51">
        <v>1</v>
      </c>
      <c r="D51" s="8">
        <v>45719</v>
      </c>
      <c r="E51">
        <f t="shared" si="0"/>
        <v>50</v>
      </c>
      <c r="F51">
        <f t="shared" si="1"/>
        <v>2</v>
      </c>
      <c r="G51">
        <f t="shared" si="2"/>
        <v>1</v>
      </c>
      <c r="H51">
        <f t="shared" si="3"/>
        <v>2</v>
      </c>
    </row>
    <row r="52" spans="1:8" x14ac:dyDescent="0.3">
      <c r="A52" s="4">
        <v>17925</v>
      </c>
      <c r="B52">
        <v>48.58</v>
      </c>
      <c r="C52">
        <v>1</v>
      </c>
      <c r="D52" s="8">
        <v>45682</v>
      </c>
      <c r="E52">
        <f t="shared" si="0"/>
        <v>87</v>
      </c>
      <c r="F52">
        <f t="shared" si="1"/>
        <v>1</v>
      </c>
      <c r="G52">
        <f t="shared" si="2"/>
        <v>1</v>
      </c>
      <c r="H52">
        <f t="shared" si="3"/>
        <v>1</v>
      </c>
    </row>
    <row r="53" spans="1:8" x14ac:dyDescent="0.3">
      <c r="A53" s="4">
        <v>17927</v>
      </c>
      <c r="B53">
        <v>80.959999999999994</v>
      </c>
      <c r="C53">
        <v>1</v>
      </c>
      <c r="D53" s="8">
        <v>45769</v>
      </c>
      <c r="E53">
        <f t="shared" si="0"/>
        <v>0</v>
      </c>
      <c r="F53">
        <f t="shared" si="1"/>
        <v>5</v>
      </c>
      <c r="G53">
        <f t="shared" si="2"/>
        <v>1</v>
      </c>
      <c r="H53">
        <f t="shared" si="3"/>
        <v>2</v>
      </c>
    </row>
    <row r="54" spans="1:8" x14ac:dyDescent="0.3">
      <c r="A54" s="4">
        <v>17928</v>
      </c>
      <c r="B54">
        <v>241.82</v>
      </c>
      <c r="C54">
        <v>2</v>
      </c>
      <c r="D54" s="8">
        <v>45737</v>
      </c>
      <c r="E54">
        <f t="shared" si="0"/>
        <v>32</v>
      </c>
      <c r="F54">
        <f t="shared" si="1"/>
        <v>3</v>
      </c>
      <c r="G54">
        <f t="shared" si="2"/>
        <v>3</v>
      </c>
      <c r="H54">
        <f t="shared" si="3"/>
        <v>4</v>
      </c>
    </row>
    <row r="55" spans="1:8" x14ac:dyDescent="0.3">
      <c r="A55" s="4">
        <v>17929</v>
      </c>
      <c r="B55">
        <v>485.22</v>
      </c>
      <c r="C55">
        <v>3</v>
      </c>
      <c r="D55" s="8">
        <v>45760</v>
      </c>
      <c r="E55">
        <f t="shared" si="0"/>
        <v>9</v>
      </c>
      <c r="F55">
        <f t="shared" si="1"/>
        <v>4</v>
      </c>
      <c r="G55">
        <f t="shared" si="2"/>
        <v>5</v>
      </c>
      <c r="H55">
        <f t="shared" si="3"/>
        <v>5</v>
      </c>
    </row>
    <row r="56" spans="1:8" x14ac:dyDescent="0.3">
      <c r="A56" s="4">
        <v>17931</v>
      </c>
      <c r="B56">
        <v>241.95000000000002</v>
      </c>
      <c r="C56">
        <v>2</v>
      </c>
      <c r="D56" s="8">
        <v>45769</v>
      </c>
      <c r="E56">
        <f t="shared" si="0"/>
        <v>0</v>
      </c>
      <c r="F56">
        <f t="shared" si="1"/>
        <v>5</v>
      </c>
      <c r="G56">
        <f t="shared" si="2"/>
        <v>3</v>
      </c>
      <c r="H56">
        <f t="shared" si="3"/>
        <v>4</v>
      </c>
    </row>
    <row r="57" spans="1:8" x14ac:dyDescent="0.3">
      <c r="A57" s="4">
        <v>17933</v>
      </c>
      <c r="B57">
        <v>9.8699999999999992</v>
      </c>
      <c r="C57">
        <v>1</v>
      </c>
      <c r="D57" s="8">
        <v>45763</v>
      </c>
      <c r="E57">
        <f t="shared" si="0"/>
        <v>6</v>
      </c>
      <c r="F57">
        <f t="shared" si="1"/>
        <v>4</v>
      </c>
      <c r="G57">
        <f t="shared" si="2"/>
        <v>1</v>
      </c>
      <c r="H57">
        <f t="shared" si="3"/>
        <v>1</v>
      </c>
    </row>
    <row r="58" spans="1:8" x14ac:dyDescent="0.3">
      <c r="A58" s="4">
        <v>17936</v>
      </c>
      <c r="B58">
        <v>104.88</v>
      </c>
      <c r="C58">
        <v>1</v>
      </c>
      <c r="D58" s="8">
        <v>45677</v>
      </c>
      <c r="E58">
        <f t="shared" si="0"/>
        <v>92</v>
      </c>
      <c r="F58">
        <f t="shared" si="1"/>
        <v>1</v>
      </c>
      <c r="G58">
        <f t="shared" si="2"/>
        <v>1</v>
      </c>
      <c r="H58">
        <f t="shared" si="3"/>
        <v>2</v>
      </c>
    </row>
    <row r="59" spans="1:8" x14ac:dyDescent="0.3">
      <c r="A59" s="4">
        <v>17937</v>
      </c>
      <c r="B59">
        <v>124.08</v>
      </c>
      <c r="C59">
        <v>1</v>
      </c>
      <c r="D59" s="8">
        <v>45733</v>
      </c>
      <c r="E59">
        <f t="shared" si="0"/>
        <v>36</v>
      </c>
      <c r="F59">
        <f t="shared" si="1"/>
        <v>3</v>
      </c>
      <c r="G59">
        <f t="shared" si="2"/>
        <v>1</v>
      </c>
      <c r="H59">
        <f t="shared" si="3"/>
        <v>2</v>
      </c>
    </row>
    <row r="60" spans="1:8" x14ac:dyDescent="0.3">
      <c r="A60" s="4">
        <v>17938</v>
      </c>
      <c r="B60">
        <v>156.72</v>
      </c>
      <c r="C60">
        <v>1</v>
      </c>
      <c r="D60" s="8">
        <v>45691</v>
      </c>
      <c r="E60">
        <f t="shared" si="0"/>
        <v>78</v>
      </c>
      <c r="F60">
        <f t="shared" si="1"/>
        <v>2</v>
      </c>
      <c r="G60">
        <f t="shared" si="2"/>
        <v>1</v>
      </c>
      <c r="H60">
        <f t="shared" si="3"/>
        <v>3</v>
      </c>
    </row>
    <row r="61" spans="1:8" x14ac:dyDescent="0.3">
      <c r="A61" s="4">
        <v>17940</v>
      </c>
      <c r="B61">
        <v>15.68</v>
      </c>
      <c r="C61">
        <v>1</v>
      </c>
      <c r="D61" s="8">
        <v>45686</v>
      </c>
      <c r="E61">
        <f>MAX(D:D)-D61</f>
        <v>83</v>
      </c>
      <c r="F61">
        <f t="shared" si="1"/>
        <v>1</v>
      </c>
      <c r="G61">
        <f t="shared" si="2"/>
        <v>1</v>
      </c>
      <c r="H61">
        <f t="shared" si="3"/>
        <v>1</v>
      </c>
    </row>
    <row r="62" spans="1:8" x14ac:dyDescent="0.3">
      <c r="A62" s="4">
        <v>17943</v>
      </c>
      <c r="B62">
        <v>791.71</v>
      </c>
      <c r="C62">
        <v>4</v>
      </c>
      <c r="D62" s="8">
        <v>45747</v>
      </c>
      <c r="E62">
        <f t="shared" si="0"/>
        <v>22</v>
      </c>
      <c r="F62">
        <f t="shared" si="1"/>
        <v>4</v>
      </c>
      <c r="G62">
        <f t="shared" si="2"/>
        <v>5</v>
      </c>
      <c r="H62">
        <f t="shared" si="3"/>
        <v>5</v>
      </c>
    </row>
    <row r="63" spans="1:8" x14ac:dyDescent="0.3">
      <c r="A63" s="4">
        <v>17944</v>
      </c>
      <c r="B63">
        <v>183.42000000000002</v>
      </c>
      <c r="C63">
        <v>2</v>
      </c>
      <c r="D63" s="8">
        <v>45758</v>
      </c>
      <c r="E63">
        <f t="shared" si="0"/>
        <v>11</v>
      </c>
      <c r="F63">
        <f t="shared" si="1"/>
        <v>4</v>
      </c>
      <c r="G63">
        <f t="shared" si="2"/>
        <v>3</v>
      </c>
      <c r="H63">
        <f t="shared" si="3"/>
        <v>3</v>
      </c>
    </row>
    <row r="64" spans="1:8" x14ac:dyDescent="0.3">
      <c r="A64" s="4">
        <v>17947</v>
      </c>
      <c r="B64">
        <v>344.65</v>
      </c>
      <c r="C64">
        <v>2</v>
      </c>
      <c r="D64" s="8">
        <v>45753</v>
      </c>
      <c r="E64">
        <f t="shared" si="0"/>
        <v>16</v>
      </c>
      <c r="F64">
        <f t="shared" si="1"/>
        <v>4</v>
      </c>
      <c r="G64">
        <f t="shared" si="2"/>
        <v>3</v>
      </c>
      <c r="H64">
        <f t="shared" si="3"/>
        <v>5</v>
      </c>
    </row>
    <row r="65" spans="1:8" x14ac:dyDescent="0.3">
      <c r="A65" s="4">
        <v>17948</v>
      </c>
      <c r="B65">
        <v>217.59</v>
      </c>
      <c r="C65">
        <v>2</v>
      </c>
      <c r="D65" s="8">
        <v>45745</v>
      </c>
      <c r="E65">
        <f t="shared" si="0"/>
        <v>24</v>
      </c>
      <c r="F65">
        <f t="shared" si="1"/>
        <v>3</v>
      </c>
      <c r="G65">
        <f t="shared" si="2"/>
        <v>3</v>
      </c>
      <c r="H65">
        <f t="shared" si="3"/>
        <v>4</v>
      </c>
    </row>
    <row r="66" spans="1:8" x14ac:dyDescent="0.3">
      <c r="A66" s="4">
        <v>17949</v>
      </c>
      <c r="B66">
        <v>103.32</v>
      </c>
      <c r="C66">
        <v>1</v>
      </c>
      <c r="D66" s="8">
        <v>45673</v>
      </c>
      <c r="E66">
        <f t="shared" si="0"/>
        <v>96</v>
      </c>
      <c r="F66">
        <f t="shared" si="1"/>
        <v>1</v>
      </c>
      <c r="G66">
        <f t="shared" si="2"/>
        <v>1</v>
      </c>
      <c r="H66">
        <f t="shared" si="3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3949-BB36-4560-B7F8-1116D13CCCB2}">
  <dimension ref="A3:D69"/>
  <sheetViews>
    <sheetView workbookViewId="0">
      <selection activeCell="K7" sqref="K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24.33203125" bestFit="1" customWidth="1"/>
    <col min="4" max="4" width="17.5546875" bestFit="1" customWidth="1"/>
    <col min="5" max="5" width="5" bestFit="1" customWidth="1"/>
    <col min="6" max="6" width="2" bestFit="1" customWidth="1"/>
    <col min="7" max="8" width="5" bestFit="1" customWidth="1"/>
    <col min="9" max="16" width="6" bestFit="1" customWidth="1"/>
    <col min="17" max="17" width="5" bestFit="1" customWidth="1"/>
    <col min="18" max="19" width="6" bestFit="1" customWidth="1"/>
    <col min="20" max="20" width="5" bestFit="1" customWidth="1"/>
    <col min="21" max="21" width="6" bestFit="1" customWidth="1"/>
    <col min="22" max="22" width="5" bestFit="1" customWidth="1"/>
    <col min="23" max="29" width="6" bestFit="1" customWidth="1"/>
    <col min="30" max="30" width="5" bestFit="1" customWidth="1"/>
    <col min="31" max="37" width="6" bestFit="1" customWidth="1"/>
    <col min="38" max="38" width="5" bestFit="1" customWidth="1"/>
    <col min="39" max="42" width="6" bestFit="1" customWidth="1"/>
    <col min="43" max="43" width="5" bestFit="1" customWidth="1"/>
    <col min="44" max="49" width="6" bestFit="1" customWidth="1"/>
    <col min="50" max="50" width="5" bestFit="1" customWidth="1"/>
    <col min="51" max="54" width="7" bestFit="1" customWidth="1"/>
    <col min="55" max="55" width="6" bestFit="1" customWidth="1"/>
    <col min="56" max="59" width="7" bestFit="1" customWidth="1"/>
    <col min="60" max="60" width="6" bestFit="1" customWidth="1"/>
    <col min="61" max="62" width="7" bestFit="1" customWidth="1"/>
    <col min="63" max="63" width="6" bestFit="1" customWidth="1"/>
    <col min="64" max="71" width="7" bestFit="1" customWidth="1"/>
    <col min="72" max="72" width="6" bestFit="1" customWidth="1"/>
    <col min="73" max="83" width="7" bestFit="1" customWidth="1"/>
    <col min="84" max="84" width="6" bestFit="1" customWidth="1"/>
    <col min="85" max="85" width="4" bestFit="1" customWidth="1"/>
    <col min="86" max="86" width="7" bestFit="1" customWidth="1"/>
    <col min="87" max="87" width="6" bestFit="1" customWidth="1"/>
    <col min="88" max="94" width="7" bestFit="1" customWidth="1"/>
    <col min="95" max="95" width="6" bestFit="1" customWidth="1"/>
    <col min="96" max="99" width="7" bestFit="1" customWidth="1"/>
    <col min="100" max="100" width="6" bestFit="1" customWidth="1"/>
    <col min="101" max="101" width="10.77734375" bestFit="1" customWidth="1"/>
  </cols>
  <sheetData>
    <row r="3" spans="1:4" x14ac:dyDescent="0.3">
      <c r="A3" s="3" t="s">
        <v>124</v>
      </c>
      <c r="B3" t="s">
        <v>123</v>
      </c>
      <c r="C3" t="s">
        <v>127</v>
      </c>
      <c r="D3" t="s">
        <v>126</v>
      </c>
    </row>
    <row r="4" spans="1:4" x14ac:dyDescent="0.3">
      <c r="A4" s="4">
        <v>17851</v>
      </c>
      <c r="B4">
        <v>379.86</v>
      </c>
      <c r="C4">
        <v>1</v>
      </c>
      <c r="D4" s="8">
        <v>45746</v>
      </c>
    </row>
    <row r="5" spans="1:4" x14ac:dyDescent="0.3">
      <c r="A5" s="4">
        <v>17852</v>
      </c>
      <c r="B5">
        <v>140.75</v>
      </c>
      <c r="C5">
        <v>2</v>
      </c>
      <c r="D5" s="8">
        <v>45736</v>
      </c>
    </row>
    <row r="6" spans="1:4" x14ac:dyDescent="0.3">
      <c r="A6" s="4">
        <v>17853</v>
      </c>
      <c r="B6">
        <v>389.86</v>
      </c>
      <c r="C6">
        <v>2</v>
      </c>
      <c r="D6" s="8">
        <v>45728</v>
      </c>
    </row>
    <row r="7" spans="1:4" x14ac:dyDescent="0.3">
      <c r="A7" s="4">
        <v>17855</v>
      </c>
      <c r="B7">
        <v>76.25</v>
      </c>
      <c r="C7">
        <v>2</v>
      </c>
      <c r="D7" s="8">
        <v>45744</v>
      </c>
    </row>
    <row r="8" spans="1:4" x14ac:dyDescent="0.3">
      <c r="A8" s="4">
        <v>17856</v>
      </c>
      <c r="B8">
        <v>401.03999999999996</v>
      </c>
      <c r="C8">
        <v>2</v>
      </c>
      <c r="D8" s="8">
        <v>45761</v>
      </c>
    </row>
    <row r="9" spans="1:4" x14ac:dyDescent="0.3">
      <c r="A9" s="4">
        <v>17857</v>
      </c>
      <c r="B9">
        <v>123.3</v>
      </c>
      <c r="C9">
        <v>2</v>
      </c>
      <c r="D9" s="8">
        <v>45701</v>
      </c>
    </row>
    <row r="10" spans="1:4" x14ac:dyDescent="0.3">
      <c r="A10" s="4">
        <v>17858</v>
      </c>
      <c r="B10">
        <v>2.8</v>
      </c>
      <c r="C10">
        <v>1</v>
      </c>
      <c r="D10" s="8">
        <v>45713</v>
      </c>
    </row>
    <row r="11" spans="1:4" x14ac:dyDescent="0.3">
      <c r="A11" s="4">
        <v>17859</v>
      </c>
      <c r="B11">
        <v>79.5</v>
      </c>
      <c r="C11">
        <v>2</v>
      </c>
      <c r="D11" s="8">
        <v>45734</v>
      </c>
    </row>
    <row r="12" spans="1:4" x14ac:dyDescent="0.3">
      <c r="A12" s="4">
        <v>17860</v>
      </c>
      <c r="B12">
        <v>143.6</v>
      </c>
      <c r="C12">
        <v>1</v>
      </c>
      <c r="D12" s="8">
        <v>45768</v>
      </c>
    </row>
    <row r="13" spans="1:4" x14ac:dyDescent="0.3">
      <c r="A13" s="4">
        <v>17861</v>
      </c>
      <c r="B13">
        <v>199.29</v>
      </c>
      <c r="C13">
        <v>1</v>
      </c>
      <c r="D13" s="8">
        <v>45708</v>
      </c>
    </row>
    <row r="14" spans="1:4" x14ac:dyDescent="0.3">
      <c r="A14" s="4">
        <v>17862</v>
      </c>
      <c r="B14">
        <v>149.74</v>
      </c>
      <c r="C14">
        <v>2</v>
      </c>
      <c r="D14" s="8">
        <v>45762</v>
      </c>
    </row>
    <row r="15" spans="1:4" x14ac:dyDescent="0.3">
      <c r="A15" s="4">
        <v>17865</v>
      </c>
      <c r="B15">
        <v>89.28</v>
      </c>
      <c r="C15">
        <v>1</v>
      </c>
      <c r="D15" s="8">
        <v>45680</v>
      </c>
    </row>
    <row r="16" spans="1:4" x14ac:dyDescent="0.3">
      <c r="A16" s="4">
        <v>17868</v>
      </c>
      <c r="B16">
        <v>394</v>
      </c>
      <c r="C16">
        <v>3</v>
      </c>
      <c r="D16" s="8">
        <v>45743</v>
      </c>
    </row>
    <row r="17" spans="1:4" x14ac:dyDescent="0.3">
      <c r="A17" s="4">
        <v>17869</v>
      </c>
      <c r="B17">
        <v>352.64</v>
      </c>
      <c r="C17">
        <v>1</v>
      </c>
      <c r="D17" s="8">
        <v>45695</v>
      </c>
    </row>
    <row r="18" spans="1:4" x14ac:dyDescent="0.3">
      <c r="A18" s="4">
        <v>17871</v>
      </c>
      <c r="B18">
        <v>204.48</v>
      </c>
      <c r="C18">
        <v>1</v>
      </c>
      <c r="D18" s="8">
        <v>45709</v>
      </c>
    </row>
    <row r="19" spans="1:4" x14ac:dyDescent="0.3">
      <c r="A19" s="4">
        <v>17872</v>
      </c>
      <c r="B19">
        <v>238.08</v>
      </c>
      <c r="C19">
        <v>2</v>
      </c>
      <c r="D19" s="8">
        <v>45714</v>
      </c>
    </row>
    <row r="20" spans="1:4" x14ac:dyDescent="0.3">
      <c r="A20" s="4">
        <v>17875</v>
      </c>
      <c r="B20">
        <v>268.75</v>
      </c>
      <c r="C20">
        <v>2</v>
      </c>
      <c r="D20" s="8">
        <v>45751</v>
      </c>
    </row>
    <row r="21" spans="1:4" x14ac:dyDescent="0.3">
      <c r="A21" s="4">
        <v>17876</v>
      </c>
      <c r="B21">
        <v>423.49</v>
      </c>
      <c r="C21">
        <v>2</v>
      </c>
      <c r="D21" s="8">
        <v>45722</v>
      </c>
    </row>
    <row r="22" spans="1:4" x14ac:dyDescent="0.3">
      <c r="A22" s="4">
        <v>17877</v>
      </c>
      <c r="B22">
        <v>227.19</v>
      </c>
      <c r="C22">
        <v>2</v>
      </c>
      <c r="D22" s="8">
        <v>45739</v>
      </c>
    </row>
    <row r="23" spans="1:4" x14ac:dyDescent="0.3">
      <c r="A23" s="4">
        <v>17878</v>
      </c>
      <c r="B23">
        <v>32.729999999999997</v>
      </c>
      <c r="C23">
        <v>1</v>
      </c>
      <c r="D23" s="8">
        <v>45731</v>
      </c>
    </row>
    <row r="24" spans="1:4" x14ac:dyDescent="0.3">
      <c r="A24" s="4">
        <v>17879</v>
      </c>
      <c r="B24">
        <v>268.27999999999997</v>
      </c>
      <c r="C24">
        <v>1</v>
      </c>
      <c r="D24" s="8">
        <v>45756</v>
      </c>
    </row>
    <row r="25" spans="1:4" x14ac:dyDescent="0.3">
      <c r="A25" s="4">
        <v>17883</v>
      </c>
      <c r="B25">
        <v>143.44</v>
      </c>
      <c r="C25">
        <v>1</v>
      </c>
      <c r="D25" s="8">
        <v>45742</v>
      </c>
    </row>
    <row r="26" spans="1:4" x14ac:dyDescent="0.3">
      <c r="A26" s="4">
        <v>17885</v>
      </c>
      <c r="B26">
        <v>213.01</v>
      </c>
      <c r="C26">
        <v>1</v>
      </c>
      <c r="D26" s="8">
        <v>45754</v>
      </c>
    </row>
    <row r="27" spans="1:4" x14ac:dyDescent="0.3">
      <c r="A27" s="4">
        <v>17887</v>
      </c>
      <c r="B27">
        <v>114.7</v>
      </c>
      <c r="C27">
        <v>1</v>
      </c>
      <c r="D27" s="8">
        <v>45735</v>
      </c>
    </row>
    <row r="28" spans="1:4" x14ac:dyDescent="0.3">
      <c r="A28" s="4">
        <v>17889</v>
      </c>
      <c r="B28">
        <v>565.29999999999995</v>
      </c>
      <c r="C28">
        <v>2</v>
      </c>
      <c r="D28" s="8">
        <v>45765</v>
      </c>
    </row>
    <row r="29" spans="1:4" x14ac:dyDescent="0.3">
      <c r="A29" s="4">
        <v>17890</v>
      </c>
      <c r="B29">
        <v>51.55</v>
      </c>
      <c r="C29">
        <v>1</v>
      </c>
      <c r="D29" s="8">
        <v>45681</v>
      </c>
    </row>
    <row r="30" spans="1:4" x14ac:dyDescent="0.3">
      <c r="A30" s="4">
        <v>17891</v>
      </c>
      <c r="B30">
        <v>517.80000000000007</v>
      </c>
      <c r="C30">
        <v>2</v>
      </c>
      <c r="D30" s="8">
        <v>45740</v>
      </c>
    </row>
    <row r="31" spans="1:4" x14ac:dyDescent="0.3">
      <c r="A31" s="4">
        <v>17892</v>
      </c>
      <c r="B31">
        <v>296.12</v>
      </c>
      <c r="C31">
        <v>2</v>
      </c>
      <c r="D31" s="8">
        <v>45759</v>
      </c>
    </row>
    <row r="32" spans="1:4" x14ac:dyDescent="0.3">
      <c r="A32" s="4">
        <v>17895</v>
      </c>
      <c r="B32">
        <v>71.12</v>
      </c>
      <c r="C32">
        <v>1</v>
      </c>
      <c r="D32" s="8">
        <v>45697</v>
      </c>
    </row>
    <row r="33" spans="1:4" x14ac:dyDescent="0.3">
      <c r="A33" s="4">
        <v>17896</v>
      </c>
      <c r="B33">
        <v>141.44</v>
      </c>
      <c r="C33">
        <v>2</v>
      </c>
      <c r="D33" s="8">
        <v>45757</v>
      </c>
    </row>
    <row r="34" spans="1:4" x14ac:dyDescent="0.3">
      <c r="A34" s="4">
        <v>17897</v>
      </c>
      <c r="B34">
        <v>127.02</v>
      </c>
      <c r="C34">
        <v>2</v>
      </c>
      <c r="D34" s="8">
        <v>45700</v>
      </c>
    </row>
    <row r="35" spans="1:4" x14ac:dyDescent="0.3">
      <c r="A35" s="4">
        <v>17900</v>
      </c>
      <c r="B35">
        <v>201.32</v>
      </c>
      <c r="C35">
        <v>1</v>
      </c>
      <c r="D35" s="8">
        <v>45750</v>
      </c>
    </row>
    <row r="36" spans="1:4" x14ac:dyDescent="0.3">
      <c r="A36" s="4">
        <v>17901</v>
      </c>
      <c r="B36">
        <v>233.81</v>
      </c>
      <c r="C36">
        <v>3</v>
      </c>
      <c r="D36" s="8">
        <v>45767</v>
      </c>
    </row>
    <row r="37" spans="1:4" x14ac:dyDescent="0.3">
      <c r="A37" s="4">
        <v>17902</v>
      </c>
      <c r="B37">
        <v>105.36</v>
      </c>
      <c r="C37">
        <v>1</v>
      </c>
      <c r="D37" s="8">
        <v>45727</v>
      </c>
    </row>
    <row r="38" spans="1:4" x14ac:dyDescent="0.3">
      <c r="A38" s="4">
        <v>17904</v>
      </c>
      <c r="B38">
        <v>247.92</v>
      </c>
      <c r="C38">
        <v>1</v>
      </c>
      <c r="D38" s="8">
        <v>45672</v>
      </c>
    </row>
    <row r="39" spans="1:4" x14ac:dyDescent="0.3">
      <c r="A39" s="4">
        <v>17905</v>
      </c>
      <c r="B39">
        <v>14.56</v>
      </c>
      <c r="C39">
        <v>1</v>
      </c>
      <c r="D39" s="8">
        <v>45698</v>
      </c>
    </row>
    <row r="40" spans="1:4" x14ac:dyDescent="0.3">
      <c r="A40" s="4">
        <v>17906</v>
      </c>
      <c r="B40">
        <v>147.84</v>
      </c>
      <c r="C40">
        <v>1</v>
      </c>
      <c r="D40" s="8">
        <v>45707</v>
      </c>
    </row>
    <row r="41" spans="1:4" x14ac:dyDescent="0.3">
      <c r="A41" s="4">
        <v>17907</v>
      </c>
      <c r="B41">
        <v>256.94</v>
      </c>
      <c r="C41">
        <v>1</v>
      </c>
      <c r="D41" s="8">
        <v>45764</v>
      </c>
    </row>
    <row r="42" spans="1:4" x14ac:dyDescent="0.3">
      <c r="A42" s="4">
        <v>17909</v>
      </c>
      <c r="B42">
        <v>8.6199999999999992</v>
      </c>
      <c r="C42">
        <v>1</v>
      </c>
      <c r="D42" s="8">
        <v>45738</v>
      </c>
    </row>
    <row r="43" spans="1:4" x14ac:dyDescent="0.3">
      <c r="A43" s="4">
        <v>17910</v>
      </c>
      <c r="B43">
        <v>111.81</v>
      </c>
      <c r="C43">
        <v>2</v>
      </c>
      <c r="D43" s="8">
        <v>45705</v>
      </c>
    </row>
    <row r="44" spans="1:4" x14ac:dyDescent="0.3">
      <c r="A44" s="4">
        <v>17911</v>
      </c>
      <c r="B44">
        <v>144.72</v>
      </c>
      <c r="C44">
        <v>1</v>
      </c>
      <c r="D44" s="8">
        <v>45704</v>
      </c>
    </row>
    <row r="45" spans="1:4" x14ac:dyDescent="0.3">
      <c r="A45" s="4">
        <v>17912</v>
      </c>
      <c r="B45">
        <v>344.15999999999997</v>
      </c>
      <c r="C45">
        <v>2</v>
      </c>
      <c r="D45" s="8">
        <v>45766</v>
      </c>
    </row>
    <row r="46" spans="1:4" x14ac:dyDescent="0.3">
      <c r="A46" s="4">
        <v>17913</v>
      </c>
      <c r="B46">
        <v>20.9</v>
      </c>
      <c r="C46">
        <v>1</v>
      </c>
      <c r="D46" s="8">
        <v>45687</v>
      </c>
    </row>
    <row r="47" spans="1:4" x14ac:dyDescent="0.3">
      <c r="A47" s="4">
        <v>17914</v>
      </c>
      <c r="B47">
        <v>10.08</v>
      </c>
      <c r="C47">
        <v>1</v>
      </c>
      <c r="D47" s="8">
        <v>45749</v>
      </c>
    </row>
    <row r="48" spans="1:4" x14ac:dyDescent="0.3">
      <c r="A48" s="4">
        <v>17915</v>
      </c>
      <c r="B48">
        <v>84.64</v>
      </c>
      <c r="C48">
        <v>1</v>
      </c>
      <c r="D48" s="8">
        <v>45755</v>
      </c>
    </row>
    <row r="49" spans="1:4" x14ac:dyDescent="0.3">
      <c r="A49" s="4">
        <v>17917</v>
      </c>
      <c r="B49">
        <v>303.13</v>
      </c>
      <c r="C49">
        <v>2</v>
      </c>
      <c r="D49" s="8">
        <v>45748</v>
      </c>
    </row>
    <row r="50" spans="1:4" x14ac:dyDescent="0.3">
      <c r="A50" s="4">
        <v>17918</v>
      </c>
      <c r="B50">
        <v>142.12</v>
      </c>
      <c r="C50">
        <v>1</v>
      </c>
      <c r="D50" s="8">
        <v>45678</v>
      </c>
    </row>
    <row r="51" spans="1:4" x14ac:dyDescent="0.3">
      <c r="A51" s="4">
        <v>17921</v>
      </c>
      <c r="B51">
        <v>174.76</v>
      </c>
      <c r="C51">
        <v>2</v>
      </c>
      <c r="D51" s="8">
        <v>45767</v>
      </c>
    </row>
    <row r="52" spans="1:4" x14ac:dyDescent="0.3">
      <c r="A52" s="4">
        <v>17922</v>
      </c>
      <c r="B52">
        <v>19.72</v>
      </c>
      <c r="C52">
        <v>2</v>
      </c>
      <c r="D52" s="8">
        <v>45721</v>
      </c>
    </row>
    <row r="53" spans="1:4" x14ac:dyDescent="0.3">
      <c r="A53" s="4">
        <v>17924</v>
      </c>
      <c r="B53">
        <v>128.83000000000001</v>
      </c>
      <c r="C53">
        <v>1</v>
      </c>
      <c r="D53" s="8">
        <v>45719</v>
      </c>
    </row>
    <row r="54" spans="1:4" x14ac:dyDescent="0.3">
      <c r="A54" s="4">
        <v>17925</v>
      </c>
      <c r="B54">
        <v>48.58</v>
      </c>
      <c r="C54">
        <v>1</v>
      </c>
      <c r="D54" s="8">
        <v>45682</v>
      </c>
    </row>
    <row r="55" spans="1:4" x14ac:dyDescent="0.3">
      <c r="A55" s="4">
        <v>17927</v>
      </c>
      <c r="B55">
        <v>80.959999999999994</v>
      </c>
      <c r="C55">
        <v>1</v>
      </c>
      <c r="D55" s="8">
        <v>45769</v>
      </c>
    </row>
    <row r="56" spans="1:4" x14ac:dyDescent="0.3">
      <c r="A56" s="4">
        <v>17928</v>
      </c>
      <c r="B56">
        <v>241.82</v>
      </c>
      <c r="C56">
        <v>2</v>
      </c>
      <c r="D56" s="8">
        <v>45737</v>
      </c>
    </row>
    <row r="57" spans="1:4" x14ac:dyDescent="0.3">
      <c r="A57" s="4">
        <v>17929</v>
      </c>
      <c r="B57">
        <v>485.22</v>
      </c>
      <c r="C57">
        <v>3</v>
      </c>
      <c r="D57" s="8">
        <v>45760</v>
      </c>
    </row>
    <row r="58" spans="1:4" x14ac:dyDescent="0.3">
      <c r="A58" s="4">
        <v>17931</v>
      </c>
      <c r="B58">
        <v>241.95000000000002</v>
      </c>
      <c r="C58">
        <v>2</v>
      </c>
      <c r="D58" s="8">
        <v>45769</v>
      </c>
    </row>
    <row r="59" spans="1:4" x14ac:dyDescent="0.3">
      <c r="A59" s="4">
        <v>17933</v>
      </c>
      <c r="B59">
        <v>9.8699999999999992</v>
      </c>
      <c r="C59">
        <v>1</v>
      </c>
      <c r="D59" s="8">
        <v>45763</v>
      </c>
    </row>
    <row r="60" spans="1:4" x14ac:dyDescent="0.3">
      <c r="A60" s="4">
        <v>17936</v>
      </c>
      <c r="B60">
        <v>104.88</v>
      </c>
      <c r="C60">
        <v>1</v>
      </c>
      <c r="D60" s="8">
        <v>45677</v>
      </c>
    </row>
    <row r="61" spans="1:4" x14ac:dyDescent="0.3">
      <c r="A61" s="4">
        <v>17937</v>
      </c>
      <c r="B61">
        <v>124.08</v>
      </c>
      <c r="C61">
        <v>1</v>
      </c>
      <c r="D61" s="8">
        <v>45733</v>
      </c>
    </row>
    <row r="62" spans="1:4" x14ac:dyDescent="0.3">
      <c r="A62" s="4">
        <v>17938</v>
      </c>
      <c r="B62">
        <v>156.72</v>
      </c>
      <c r="C62">
        <v>1</v>
      </c>
      <c r="D62" s="8">
        <v>45691</v>
      </c>
    </row>
    <row r="63" spans="1:4" x14ac:dyDescent="0.3">
      <c r="A63" s="4">
        <v>17940</v>
      </c>
      <c r="B63">
        <v>15.68</v>
      </c>
      <c r="C63">
        <v>1</v>
      </c>
      <c r="D63" s="8">
        <v>45686</v>
      </c>
    </row>
    <row r="64" spans="1:4" x14ac:dyDescent="0.3">
      <c r="A64" s="4">
        <v>17943</v>
      </c>
      <c r="B64">
        <v>791.71</v>
      </c>
      <c r="C64">
        <v>4</v>
      </c>
      <c r="D64" s="8">
        <v>45747</v>
      </c>
    </row>
    <row r="65" spans="1:4" x14ac:dyDescent="0.3">
      <c r="A65" s="4">
        <v>17944</v>
      </c>
      <c r="B65">
        <v>183.42000000000002</v>
      </c>
      <c r="C65">
        <v>2</v>
      </c>
      <c r="D65" s="8">
        <v>45758</v>
      </c>
    </row>
    <row r="66" spans="1:4" x14ac:dyDescent="0.3">
      <c r="A66" s="4">
        <v>17947</v>
      </c>
      <c r="B66">
        <v>344.65</v>
      </c>
      <c r="C66">
        <v>2</v>
      </c>
      <c r="D66" s="8">
        <v>45753</v>
      </c>
    </row>
    <row r="67" spans="1:4" x14ac:dyDescent="0.3">
      <c r="A67" s="4">
        <v>17948</v>
      </c>
      <c r="B67">
        <v>217.59</v>
      </c>
      <c r="C67">
        <v>2</v>
      </c>
      <c r="D67" s="8">
        <v>45745</v>
      </c>
    </row>
    <row r="68" spans="1:4" x14ac:dyDescent="0.3">
      <c r="A68" s="4">
        <v>17949</v>
      </c>
      <c r="B68">
        <v>103.32</v>
      </c>
      <c r="C68">
        <v>1</v>
      </c>
      <c r="D68" s="8">
        <v>45673</v>
      </c>
    </row>
    <row r="69" spans="1:4" x14ac:dyDescent="0.3">
      <c r="A69" s="4" t="s">
        <v>125</v>
      </c>
      <c r="B69">
        <v>12678.099999999995</v>
      </c>
      <c r="C69">
        <v>100</v>
      </c>
      <c r="D69" s="8">
        <v>45769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2"/>
  <sheetViews>
    <sheetView tabSelected="1" workbookViewId="0">
      <selection activeCell="N99" sqref="N99"/>
    </sheetView>
  </sheetViews>
  <sheetFormatPr defaultRowHeight="14.4" x14ac:dyDescent="0.3"/>
  <cols>
    <col min="1" max="1" width="12.21875" customWidth="1"/>
    <col min="2" max="2" width="13.88671875" customWidth="1"/>
    <col min="3" max="3" width="28.77734375" customWidth="1"/>
    <col min="4" max="4" width="11.33203125" customWidth="1"/>
    <col min="5" max="5" width="18.44140625" style="6" customWidth="1"/>
    <col min="6" max="6" width="12.88671875" customWidth="1"/>
    <col min="7" max="7" width="15.5546875" customWidth="1"/>
    <col min="8" max="8" width="17.6640625" customWidth="1"/>
    <col min="9" max="9" width="9.5546875" customWidth="1"/>
  </cols>
  <sheetData>
    <row r="2" spans="1:9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>
        <v>536365</v>
      </c>
      <c r="B3" t="s">
        <v>9</v>
      </c>
      <c r="C3" t="s">
        <v>10</v>
      </c>
      <c r="D3">
        <v>1</v>
      </c>
      <c r="E3" s="6">
        <v>45769</v>
      </c>
      <c r="F3">
        <v>13.33</v>
      </c>
      <c r="G3">
        <v>17931</v>
      </c>
      <c r="H3" t="s">
        <v>11</v>
      </c>
      <c r="I3">
        <v>13.33</v>
      </c>
    </row>
    <row r="4" spans="1:9" x14ac:dyDescent="0.3">
      <c r="A4">
        <v>536366</v>
      </c>
      <c r="B4" t="s">
        <v>12</v>
      </c>
      <c r="C4" t="s">
        <v>10</v>
      </c>
      <c r="D4">
        <v>23</v>
      </c>
      <c r="E4" s="6">
        <v>45769</v>
      </c>
      <c r="F4">
        <v>3.52</v>
      </c>
      <c r="G4">
        <v>17927</v>
      </c>
      <c r="H4" t="s">
        <v>13</v>
      </c>
      <c r="I4">
        <v>80.959999999999994</v>
      </c>
    </row>
    <row r="5" spans="1:9" x14ac:dyDescent="0.3">
      <c r="A5">
        <v>536367</v>
      </c>
      <c r="B5" t="s">
        <v>14</v>
      </c>
      <c r="C5" t="s">
        <v>15</v>
      </c>
      <c r="D5">
        <v>14</v>
      </c>
      <c r="E5" s="6">
        <v>45767</v>
      </c>
      <c r="F5">
        <v>11.89</v>
      </c>
      <c r="G5">
        <v>17901</v>
      </c>
      <c r="H5" t="s">
        <v>11</v>
      </c>
      <c r="I5">
        <v>166.46</v>
      </c>
    </row>
    <row r="6" spans="1:9" ht="16.2" customHeight="1" x14ac:dyDescent="0.3">
      <c r="A6">
        <v>536368</v>
      </c>
      <c r="B6" t="s">
        <v>16</v>
      </c>
      <c r="C6" t="s">
        <v>17</v>
      </c>
      <c r="D6">
        <v>24</v>
      </c>
      <c r="E6" s="6">
        <v>45672</v>
      </c>
      <c r="F6">
        <v>10.33</v>
      </c>
      <c r="G6">
        <v>17904</v>
      </c>
      <c r="H6" t="s">
        <v>13</v>
      </c>
      <c r="I6">
        <v>247.92</v>
      </c>
    </row>
    <row r="7" spans="1:9" x14ac:dyDescent="0.3">
      <c r="A7">
        <v>536369</v>
      </c>
      <c r="B7" t="s">
        <v>18</v>
      </c>
      <c r="C7" t="s">
        <v>19</v>
      </c>
      <c r="D7">
        <v>7</v>
      </c>
      <c r="E7" s="6">
        <v>45673</v>
      </c>
      <c r="F7">
        <v>14.76</v>
      </c>
      <c r="G7">
        <v>17949</v>
      </c>
      <c r="H7" t="s">
        <v>11</v>
      </c>
      <c r="I7">
        <v>103.32</v>
      </c>
    </row>
    <row r="8" spans="1:9" x14ac:dyDescent="0.3">
      <c r="A8">
        <v>536370</v>
      </c>
      <c r="B8" t="s">
        <v>20</v>
      </c>
      <c r="C8" t="s">
        <v>21</v>
      </c>
      <c r="D8">
        <v>20</v>
      </c>
      <c r="E8" s="6">
        <v>45674</v>
      </c>
      <c r="F8">
        <v>1.42</v>
      </c>
      <c r="G8">
        <v>17855</v>
      </c>
      <c r="H8" t="s">
        <v>22</v>
      </c>
      <c r="I8">
        <v>28.4</v>
      </c>
    </row>
    <row r="9" spans="1:9" x14ac:dyDescent="0.3">
      <c r="A9">
        <v>536371</v>
      </c>
      <c r="B9" t="s">
        <v>23</v>
      </c>
      <c r="C9" t="s">
        <v>24</v>
      </c>
      <c r="D9">
        <v>12</v>
      </c>
      <c r="E9" s="6">
        <v>45675</v>
      </c>
      <c r="F9">
        <v>10.34</v>
      </c>
      <c r="G9">
        <v>17921</v>
      </c>
      <c r="H9" t="s">
        <v>13</v>
      </c>
      <c r="I9">
        <v>124.08</v>
      </c>
    </row>
    <row r="10" spans="1:9" x14ac:dyDescent="0.3">
      <c r="A10">
        <v>536372</v>
      </c>
      <c r="B10" t="s">
        <v>25</v>
      </c>
      <c r="C10" t="s">
        <v>19</v>
      </c>
      <c r="D10">
        <v>25</v>
      </c>
      <c r="E10" s="6">
        <v>45676</v>
      </c>
      <c r="F10">
        <v>9.6</v>
      </c>
      <c r="G10">
        <v>17929</v>
      </c>
      <c r="H10" t="s">
        <v>11</v>
      </c>
      <c r="I10">
        <v>240</v>
      </c>
    </row>
    <row r="11" spans="1:9" x14ac:dyDescent="0.3">
      <c r="A11">
        <v>536373</v>
      </c>
      <c r="B11" t="s">
        <v>26</v>
      </c>
      <c r="C11" t="s">
        <v>17</v>
      </c>
      <c r="D11">
        <v>24</v>
      </c>
      <c r="E11" s="6">
        <v>45677</v>
      </c>
      <c r="F11">
        <v>4.37</v>
      </c>
      <c r="G11">
        <v>17936</v>
      </c>
      <c r="H11" t="s">
        <v>11</v>
      </c>
      <c r="I11">
        <v>104.88</v>
      </c>
    </row>
    <row r="12" spans="1:9" x14ac:dyDescent="0.3">
      <c r="A12">
        <v>536374</v>
      </c>
      <c r="B12" t="s">
        <v>27</v>
      </c>
      <c r="C12" t="s">
        <v>24</v>
      </c>
      <c r="D12">
        <v>11</v>
      </c>
      <c r="E12" s="6">
        <v>45678</v>
      </c>
      <c r="F12">
        <v>12.92</v>
      </c>
      <c r="G12">
        <v>17918</v>
      </c>
      <c r="H12" t="s">
        <v>28</v>
      </c>
      <c r="I12">
        <v>142.12</v>
      </c>
    </row>
    <row r="13" spans="1:9" x14ac:dyDescent="0.3">
      <c r="A13">
        <v>536375</v>
      </c>
      <c r="B13" t="s">
        <v>29</v>
      </c>
      <c r="C13" t="s">
        <v>10</v>
      </c>
      <c r="D13">
        <v>1</v>
      </c>
      <c r="E13" s="6">
        <v>45679</v>
      </c>
      <c r="F13">
        <v>7</v>
      </c>
      <c r="G13">
        <v>17922</v>
      </c>
      <c r="H13" t="s">
        <v>22</v>
      </c>
      <c r="I13">
        <v>7</v>
      </c>
    </row>
    <row r="14" spans="1:9" x14ac:dyDescent="0.3">
      <c r="A14">
        <v>536376</v>
      </c>
      <c r="B14" t="s">
        <v>30</v>
      </c>
      <c r="C14" t="s">
        <v>19</v>
      </c>
      <c r="D14">
        <v>16</v>
      </c>
      <c r="E14" s="6">
        <v>45680</v>
      </c>
      <c r="F14">
        <v>5.58</v>
      </c>
      <c r="G14">
        <v>17865</v>
      </c>
      <c r="H14" t="s">
        <v>31</v>
      </c>
      <c r="I14">
        <v>89.28</v>
      </c>
    </row>
    <row r="15" spans="1:9" x14ac:dyDescent="0.3">
      <c r="A15">
        <v>536377</v>
      </c>
      <c r="B15" t="s">
        <v>32</v>
      </c>
      <c r="C15" t="s">
        <v>17</v>
      </c>
      <c r="D15">
        <v>5</v>
      </c>
      <c r="E15" s="6">
        <v>45681</v>
      </c>
      <c r="F15">
        <v>10.31</v>
      </c>
      <c r="G15">
        <v>17890</v>
      </c>
      <c r="H15" t="s">
        <v>31</v>
      </c>
      <c r="I15">
        <v>51.55</v>
      </c>
    </row>
    <row r="16" spans="1:9" x14ac:dyDescent="0.3">
      <c r="A16">
        <v>536378</v>
      </c>
      <c r="B16" t="s">
        <v>33</v>
      </c>
      <c r="C16" t="s">
        <v>19</v>
      </c>
      <c r="D16">
        <v>7</v>
      </c>
      <c r="E16" s="6">
        <v>45682</v>
      </c>
      <c r="F16">
        <v>6.94</v>
      </c>
      <c r="G16">
        <v>17925</v>
      </c>
      <c r="H16" t="s">
        <v>13</v>
      </c>
      <c r="I16">
        <v>48.58</v>
      </c>
    </row>
    <row r="17" spans="1:9" x14ac:dyDescent="0.3">
      <c r="A17">
        <v>536379</v>
      </c>
      <c r="B17" t="s">
        <v>34</v>
      </c>
      <c r="C17" t="s">
        <v>35</v>
      </c>
      <c r="D17">
        <v>3</v>
      </c>
      <c r="E17" s="6">
        <v>45683</v>
      </c>
      <c r="F17">
        <v>4.26</v>
      </c>
      <c r="G17">
        <v>17897</v>
      </c>
      <c r="H17" t="s">
        <v>31</v>
      </c>
      <c r="I17">
        <v>12.78</v>
      </c>
    </row>
    <row r="18" spans="1:9" x14ac:dyDescent="0.3">
      <c r="A18">
        <v>536380</v>
      </c>
      <c r="B18" t="s">
        <v>36</v>
      </c>
      <c r="C18" t="s">
        <v>35</v>
      </c>
      <c r="D18">
        <v>2</v>
      </c>
      <c r="E18" s="6">
        <v>45684</v>
      </c>
      <c r="F18">
        <v>0.77</v>
      </c>
      <c r="G18">
        <v>17876</v>
      </c>
      <c r="H18" t="s">
        <v>28</v>
      </c>
      <c r="I18">
        <v>1.54</v>
      </c>
    </row>
    <row r="19" spans="1:9" x14ac:dyDescent="0.3">
      <c r="A19">
        <v>536381</v>
      </c>
      <c r="B19" t="s">
        <v>37</v>
      </c>
      <c r="C19" t="s">
        <v>17</v>
      </c>
      <c r="D19">
        <v>3</v>
      </c>
      <c r="E19" s="6">
        <v>45685</v>
      </c>
      <c r="F19">
        <v>2.13</v>
      </c>
      <c r="G19">
        <v>17901</v>
      </c>
      <c r="H19" t="s">
        <v>38</v>
      </c>
      <c r="I19">
        <v>6.39</v>
      </c>
    </row>
    <row r="20" spans="1:9" x14ac:dyDescent="0.3">
      <c r="A20">
        <v>536382</v>
      </c>
      <c r="B20" t="s">
        <v>39</v>
      </c>
      <c r="C20" t="s">
        <v>17</v>
      </c>
      <c r="D20">
        <v>16</v>
      </c>
      <c r="E20" s="6">
        <v>45686</v>
      </c>
      <c r="F20">
        <v>0.98</v>
      </c>
      <c r="G20">
        <v>17940</v>
      </c>
      <c r="H20" t="s">
        <v>13</v>
      </c>
      <c r="I20">
        <v>15.68</v>
      </c>
    </row>
    <row r="21" spans="1:9" x14ac:dyDescent="0.3">
      <c r="A21">
        <v>536383</v>
      </c>
      <c r="B21" t="s">
        <v>40</v>
      </c>
      <c r="C21" t="s">
        <v>24</v>
      </c>
      <c r="D21">
        <v>2</v>
      </c>
      <c r="E21" s="6">
        <v>45687</v>
      </c>
      <c r="F21">
        <v>10.45</v>
      </c>
      <c r="G21">
        <v>17913</v>
      </c>
      <c r="H21" t="s">
        <v>11</v>
      </c>
      <c r="I21">
        <v>20.9</v>
      </c>
    </row>
    <row r="22" spans="1:9" x14ac:dyDescent="0.3">
      <c r="A22">
        <v>536384</v>
      </c>
      <c r="B22" t="s">
        <v>41</v>
      </c>
      <c r="C22" t="s">
        <v>24</v>
      </c>
      <c r="D22">
        <v>18</v>
      </c>
      <c r="E22" s="6">
        <v>45688</v>
      </c>
      <c r="F22">
        <v>2.94</v>
      </c>
      <c r="G22">
        <v>17857</v>
      </c>
      <c r="H22" t="s">
        <v>38</v>
      </c>
      <c r="I22">
        <v>52.92</v>
      </c>
    </row>
    <row r="23" spans="1:9" x14ac:dyDescent="0.3">
      <c r="A23">
        <v>536385</v>
      </c>
      <c r="B23" t="s">
        <v>42</v>
      </c>
      <c r="C23" t="s">
        <v>19</v>
      </c>
      <c r="D23">
        <v>16</v>
      </c>
      <c r="E23" s="6">
        <v>45689</v>
      </c>
      <c r="F23">
        <v>12.94</v>
      </c>
      <c r="G23">
        <v>17877</v>
      </c>
      <c r="H23" t="s">
        <v>22</v>
      </c>
      <c r="I23">
        <v>207.04</v>
      </c>
    </row>
    <row r="24" spans="1:9" x14ac:dyDescent="0.3">
      <c r="A24">
        <v>536386</v>
      </c>
      <c r="B24" t="s">
        <v>43</v>
      </c>
      <c r="C24" t="s">
        <v>15</v>
      </c>
      <c r="D24">
        <v>26</v>
      </c>
      <c r="E24" s="6">
        <v>45690</v>
      </c>
      <c r="F24">
        <v>11.94</v>
      </c>
      <c r="G24">
        <v>17868</v>
      </c>
      <c r="H24" t="s">
        <v>11</v>
      </c>
      <c r="I24">
        <v>310.44</v>
      </c>
    </row>
    <row r="25" spans="1:9" x14ac:dyDescent="0.3">
      <c r="A25">
        <v>536387</v>
      </c>
      <c r="B25" t="s">
        <v>44</v>
      </c>
      <c r="C25" t="s">
        <v>15</v>
      </c>
      <c r="D25">
        <v>24</v>
      </c>
      <c r="E25" s="6">
        <v>45691</v>
      </c>
      <c r="F25">
        <v>6.53</v>
      </c>
      <c r="G25">
        <v>17938</v>
      </c>
      <c r="H25" t="s">
        <v>13</v>
      </c>
      <c r="I25">
        <v>156.72</v>
      </c>
    </row>
    <row r="26" spans="1:9" x14ac:dyDescent="0.3">
      <c r="A26">
        <v>536388</v>
      </c>
      <c r="B26" t="s">
        <v>45</v>
      </c>
      <c r="C26" t="s">
        <v>15</v>
      </c>
      <c r="D26">
        <v>23</v>
      </c>
      <c r="E26" s="6">
        <v>45692</v>
      </c>
      <c r="F26">
        <v>9.94</v>
      </c>
      <c r="G26">
        <v>17931</v>
      </c>
      <c r="H26" t="s">
        <v>13</v>
      </c>
      <c r="I26">
        <v>228.62</v>
      </c>
    </row>
    <row r="27" spans="1:9" x14ac:dyDescent="0.3">
      <c r="A27">
        <v>536389</v>
      </c>
      <c r="B27" t="s">
        <v>46</v>
      </c>
      <c r="C27" t="s">
        <v>21</v>
      </c>
      <c r="D27">
        <v>5</v>
      </c>
      <c r="E27" s="6">
        <v>45693</v>
      </c>
      <c r="F27">
        <v>4.3899999999999997</v>
      </c>
      <c r="G27">
        <v>17862</v>
      </c>
      <c r="H27" t="s">
        <v>31</v>
      </c>
      <c r="I27">
        <v>21.95</v>
      </c>
    </row>
    <row r="28" spans="1:9" x14ac:dyDescent="0.3">
      <c r="A28">
        <v>536390</v>
      </c>
      <c r="B28" t="s">
        <v>47</v>
      </c>
      <c r="C28" t="s">
        <v>10</v>
      </c>
      <c r="D28">
        <v>8</v>
      </c>
      <c r="E28" s="6">
        <v>45694</v>
      </c>
      <c r="F28">
        <v>3.61</v>
      </c>
      <c r="G28">
        <v>17917</v>
      </c>
      <c r="H28" t="s">
        <v>22</v>
      </c>
      <c r="I28">
        <v>28.88</v>
      </c>
    </row>
    <row r="29" spans="1:9" x14ac:dyDescent="0.3">
      <c r="A29">
        <v>536391</v>
      </c>
      <c r="B29" t="s">
        <v>48</v>
      </c>
      <c r="C29" t="s">
        <v>19</v>
      </c>
      <c r="D29">
        <v>29</v>
      </c>
      <c r="E29" s="6">
        <v>45695</v>
      </c>
      <c r="F29">
        <v>12.16</v>
      </c>
      <c r="G29">
        <v>17869</v>
      </c>
      <c r="H29" t="s">
        <v>38</v>
      </c>
      <c r="I29">
        <v>352.64</v>
      </c>
    </row>
    <row r="30" spans="1:9" x14ac:dyDescent="0.3">
      <c r="A30">
        <v>536392</v>
      </c>
      <c r="B30" t="s">
        <v>49</v>
      </c>
      <c r="C30" t="s">
        <v>17</v>
      </c>
      <c r="D30">
        <v>15</v>
      </c>
      <c r="E30" s="6">
        <v>45696</v>
      </c>
      <c r="F30">
        <v>14.47</v>
      </c>
      <c r="G30">
        <v>17943</v>
      </c>
      <c r="H30" t="s">
        <v>28</v>
      </c>
      <c r="I30">
        <v>217.05</v>
      </c>
    </row>
    <row r="31" spans="1:9" x14ac:dyDescent="0.3">
      <c r="A31">
        <v>536393</v>
      </c>
      <c r="B31" t="s">
        <v>50</v>
      </c>
      <c r="C31" t="s">
        <v>19</v>
      </c>
      <c r="D31">
        <v>7</v>
      </c>
      <c r="E31" s="6">
        <v>45697</v>
      </c>
      <c r="F31">
        <v>10.16</v>
      </c>
      <c r="G31">
        <v>17895</v>
      </c>
      <c r="H31" t="s">
        <v>38</v>
      </c>
      <c r="I31">
        <v>71.12</v>
      </c>
    </row>
    <row r="32" spans="1:9" x14ac:dyDescent="0.3">
      <c r="A32">
        <v>536394</v>
      </c>
      <c r="B32" t="s">
        <v>51</v>
      </c>
      <c r="C32" t="s">
        <v>15</v>
      </c>
      <c r="D32">
        <v>7</v>
      </c>
      <c r="E32" s="6">
        <v>45698</v>
      </c>
      <c r="F32">
        <v>2.08</v>
      </c>
      <c r="G32">
        <v>17905</v>
      </c>
      <c r="H32" t="s">
        <v>13</v>
      </c>
      <c r="I32">
        <v>14.56</v>
      </c>
    </row>
    <row r="33" spans="1:9" x14ac:dyDescent="0.3">
      <c r="A33">
        <v>536395</v>
      </c>
      <c r="B33" t="s">
        <v>52</v>
      </c>
      <c r="C33" t="s">
        <v>10</v>
      </c>
      <c r="D33">
        <v>9</v>
      </c>
      <c r="E33" s="6">
        <v>45699</v>
      </c>
      <c r="F33">
        <v>6.66</v>
      </c>
      <c r="G33">
        <v>17910</v>
      </c>
      <c r="H33" t="s">
        <v>28</v>
      </c>
      <c r="I33">
        <v>59.94</v>
      </c>
    </row>
    <row r="34" spans="1:9" x14ac:dyDescent="0.3">
      <c r="A34">
        <v>536396</v>
      </c>
      <c r="B34" t="s">
        <v>53</v>
      </c>
      <c r="C34" t="s">
        <v>24</v>
      </c>
      <c r="D34">
        <v>17</v>
      </c>
      <c r="E34" s="6">
        <v>45700</v>
      </c>
      <c r="F34">
        <v>6.72</v>
      </c>
      <c r="G34">
        <v>17897</v>
      </c>
      <c r="H34" t="s">
        <v>54</v>
      </c>
      <c r="I34">
        <v>114.24</v>
      </c>
    </row>
    <row r="35" spans="1:9" x14ac:dyDescent="0.3">
      <c r="A35">
        <v>536397</v>
      </c>
      <c r="B35" t="s">
        <v>55</v>
      </c>
      <c r="C35" t="s">
        <v>15</v>
      </c>
      <c r="D35">
        <v>6</v>
      </c>
      <c r="E35" s="6">
        <v>45701</v>
      </c>
      <c r="F35">
        <v>11.73</v>
      </c>
      <c r="G35">
        <v>17857</v>
      </c>
      <c r="H35" t="s">
        <v>11</v>
      </c>
      <c r="I35">
        <v>70.38</v>
      </c>
    </row>
    <row r="36" spans="1:9" x14ac:dyDescent="0.3">
      <c r="A36">
        <v>536398</v>
      </c>
      <c r="B36" t="s">
        <v>56</v>
      </c>
      <c r="C36" t="s">
        <v>15</v>
      </c>
      <c r="D36">
        <v>30</v>
      </c>
      <c r="E36" s="6">
        <v>45702</v>
      </c>
      <c r="F36">
        <v>14.67</v>
      </c>
      <c r="G36">
        <v>17891</v>
      </c>
      <c r="H36" t="s">
        <v>38</v>
      </c>
      <c r="I36">
        <v>440.1</v>
      </c>
    </row>
    <row r="37" spans="1:9" x14ac:dyDescent="0.3">
      <c r="A37">
        <v>536399</v>
      </c>
      <c r="B37" t="s">
        <v>57</v>
      </c>
      <c r="C37" t="s">
        <v>21</v>
      </c>
      <c r="D37">
        <v>6</v>
      </c>
      <c r="E37" s="6">
        <v>45703</v>
      </c>
      <c r="F37">
        <v>10.24</v>
      </c>
      <c r="G37">
        <v>17852</v>
      </c>
      <c r="H37" t="s">
        <v>38</v>
      </c>
      <c r="I37">
        <v>61.44</v>
      </c>
    </row>
    <row r="38" spans="1:9" x14ac:dyDescent="0.3">
      <c r="A38">
        <v>536400</v>
      </c>
      <c r="B38" t="s">
        <v>58</v>
      </c>
      <c r="C38" t="s">
        <v>19</v>
      </c>
      <c r="D38">
        <v>18</v>
      </c>
      <c r="E38" s="6">
        <v>45704</v>
      </c>
      <c r="F38">
        <v>8.0399999999999991</v>
      </c>
      <c r="G38">
        <v>17911</v>
      </c>
      <c r="H38" t="s">
        <v>22</v>
      </c>
      <c r="I38">
        <v>144.72</v>
      </c>
    </row>
    <row r="39" spans="1:9" x14ac:dyDescent="0.3">
      <c r="A39">
        <v>536401</v>
      </c>
      <c r="B39" t="s">
        <v>59</v>
      </c>
      <c r="C39" t="s">
        <v>24</v>
      </c>
      <c r="D39">
        <v>13</v>
      </c>
      <c r="E39" s="6">
        <v>45705</v>
      </c>
      <c r="F39">
        <v>3.99</v>
      </c>
      <c r="G39">
        <v>17910</v>
      </c>
      <c r="H39" t="s">
        <v>31</v>
      </c>
      <c r="I39">
        <v>51.87</v>
      </c>
    </row>
    <row r="40" spans="1:9" x14ac:dyDescent="0.3">
      <c r="A40">
        <v>536402</v>
      </c>
      <c r="B40" t="s">
        <v>60</v>
      </c>
      <c r="C40" t="s">
        <v>24</v>
      </c>
      <c r="D40">
        <v>29</v>
      </c>
      <c r="E40" s="6">
        <v>45706</v>
      </c>
      <c r="F40">
        <v>2.2799999999999998</v>
      </c>
      <c r="G40">
        <v>17947</v>
      </c>
      <c r="H40" t="s">
        <v>38</v>
      </c>
      <c r="I40">
        <v>66.12</v>
      </c>
    </row>
    <row r="41" spans="1:9" x14ac:dyDescent="0.3">
      <c r="A41">
        <v>536403</v>
      </c>
      <c r="B41" t="s">
        <v>61</v>
      </c>
      <c r="C41" t="s">
        <v>19</v>
      </c>
      <c r="D41">
        <v>22</v>
      </c>
      <c r="E41" s="6">
        <v>45707</v>
      </c>
      <c r="F41">
        <v>6.72</v>
      </c>
      <c r="G41">
        <v>17906</v>
      </c>
      <c r="H41" t="s">
        <v>54</v>
      </c>
      <c r="I41">
        <v>147.84</v>
      </c>
    </row>
    <row r="42" spans="1:9" x14ac:dyDescent="0.3">
      <c r="A42">
        <v>536404</v>
      </c>
      <c r="B42" t="s">
        <v>62</v>
      </c>
      <c r="C42" t="s">
        <v>19</v>
      </c>
      <c r="D42">
        <v>21</v>
      </c>
      <c r="E42" s="6">
        <v>45708</v>
      </c>
      <c r="F42">
        <v>9.49</v>
      </c>
      <c r="G42">
        <v>17861</v>
      </c>
      <c r="H42" t="s">
        <v>22</v>
      </c>
      <c r="I42">
        <v>199.29</v>
      </c>
    </row>
    <row r="43" spans="1:9" x14ac:dyDescent="0.3">
      <c r="A43">
        <v>536405</v>
      </c>
      <c r="B43" t="s">
        <v>63</v>
      </c>
      <c r="C43" t="s">
        <v>15</v>
      </c>
      <c r="D43">
        <v>24</v>
      </c>
      <c r="E43" s="6">
        <v>45709</v>
      </c>
      <c r="F43">
        <v>8.52</v>
      </c>
      <c r="G43">
        <v>17871</v>
      </c>
      <c r="H43" t="s">
        <v>28</v>
      </c>
      <c r="I43">
        <v>204.48</v>
      </c>
    </row>
    <row r="44" spans="1:9" x14ac:dyDescent="0.3">
      <c r="A44">
        <v>536406</v>
      </c>
      <c r="B44" t="s">
        <v>64</v>
      </c>
      <c r="C44" t="s">
        <v>35</v>
      </c>
      <c r="D44">
        <v>13</v>
      </c>
      <c r="E44" s="6">
        <v>45710</v>
      </c>
      <c r="F44">
        <v>12.58</v>
      </c>
      <c r="G44">
        <v>17853</v>
      </c>
      <c r="H44" t="s">
        <v>28</v>
      </c>
      <c r="I44">
        <v>163.54</v>
      </c>
    </row>
    <row r="45" spans="1:9" x14ac:dyDescent="0.3">
      <c r="A45">
        <v>536407</v>
      </c>
      <c r="B45" t="s">
        <v>65</v>
      </c>
      <c r="C45" t="s">
        <v>17</v>
      </c>
      <c r="D45">
        <v>19</v>
      </c>
      <c r="E45" s="6">
        <v>45711</v>
      </c>
      <c r="F45">
        <v>5.12</v>
      </c>
      <c r="G45">
        <v>17872</v>
      </c>
      <c r="H45" t="s">
        <v>54</v>
      </c>
      <c r="I45">
        <v>97.28</v>
      </c>
    </row>
    <row r="46" spans="1:9" x14ac:dyDescent="0.3">
      <c r="A46">
        <v>536408</v>
      </c>
      <c r="B46" t="s">
        <v>66</v>
      </c>
      <c r="C46" t="s">
        <v>21</v>
      </c>
      <c r="D46">
        <v>30</v>
      </c>
      <c r="E46" s="6">
        <v>45712</v>
      </c>
      <c r="F46">
        <v>8.24</v>
      </c>
      <c r="G46">
        <v>17856</v>
      </c>
      <c r="H46" t="s">
        <v>22</v>
      </c>
      <c r="I46">
        <v>247.2</v>
      </c>
    </row>
    <row r="47" spans="1:9" x14ac:dyDescent="0.3">
      <c r="A47">
        <v>536409</v>
      </c>
      <c r="B47" t="s">
        <v>67</v>
      </c>
      <c r="C47" t="s">
        <v>10</v>
      </c>
      <c r="D47">
        <v>1</v>
      </c>
      <c r="E47" s="6">
        <v>45713</v>
      </c>
      <c r="F47">
        <v>2.8</v>
      </c>
      <c r="G47">
        <v>17858</v>
      </c>
      <c r="H47" t="s">
        <v>28</v>
      </c>
      <c r="I47">
        <v>2.8</v>
      </c>
    </row>
    <row r="48" spans="1:9" x14ac:dyDescent="0.3">
      <c r="A48">
        <v>536410</v>
      </c>
      <c r="B48" t="s">
        <v>68</v>
      </c>
      <c r="C48" t="s">
        <v>24</v>
      </c>
      <c r="D48">
        <v>11</v>
      </c>
      <c r="E48" s="6">
        <v>45714</v>
      </c>
      <c r="F48">
        <v>12.8</v>
      </c>
      <c r="G48">
        <v>17872</v>
      </c>
      <c r="H48" t="s">
        <v>13</v>
      </c>
      <c r="I48">
        <v>140.80000000000001</v>
      </c>
    </row>
    <row r="49" spans="1:9" x14ac:dyDescent="0.3">
      <c r="A49">
        <v>536411</v>
      </c>
      <c r="B49" t="s">
        <v>69</v>
      </c>
      <c r="C49" t="s">
        <v>19</v>
      </c>
      <c r="D49">
        <v>16</v>
      </c>
      <c r="E49" s="6">
        <v>45715</v>
      </c>
      <c r="F49">
        <v>10.9</v>
      </c>
      <c r="G49">
        <v>17943</v>
      </c>
      <c r="H49" t="s">
        <v>31</v>
      </c>
      <c r="I49">
        <v>174.4</v>
      </c>
    </row>
    <row r="50" spans="1:9" x14ac:dyDescent="0.3">
      <c r="A50">
        <v>536412</v>
      </c>
      <c r="B50" t="s">
        <v>70</v>
      </c>
      <c r="C50" t="s">
        <v>21</v>
      </c>
      <c r="D50">
        <v>2</v>
      </c>
      <c r="E50" s="6">
        <v>45716</v>
      </c>
      <c r="F50">
        <v>10.43</v>
      </c>
      <c r="G50">
        <v>17868</v>
      </c>
      <c r="H50" t="s">
        <v>11</v>
      </c>
      <c r="I50">
        <v>20.86</v>
      </c>
    </row>
    <row r="51" spans="1:9" x14ac:dyDescent="0.3">
      <c r="A51">
        <v>536413</v>
      </c>
      <c r="B51" t="s">
        <v>71</v>
      </c>
      <c r="C51" t="s">
        <v>10</v>
      </c>
      <c r="D51">
        <v>14</v>
      </c>
      <c r="E51" s="6">
        <v>45717</v>
      </c>
      <c r="F51">
        <v>14.79</v>
      </c>
      <c r="G51">
        <v>17929</v>
      </c>
      <c r="H51" t="s">
        <v>11</v>
      </c>
      <c r="I51">
        <v>207.06</v>
      </c>
    </row>
    <row r="52" spans="1:9" x14ac:dyDescent="0.3">
      <c r="A52">
        <v>536414</v>
      </c>
      <c r="B52" t="s">
        <v>72</v>
      </c>
      <c r="C52" t="s">
        <v>24</v>
      </c>
      <c r="D52">
        <v>21</v>
      </c>
      <c r="E52" s="6">
        <v>45718</v>
      </c>
      <c r="F52">
        <v>6.97</v>
      </c>
      <c r="G52">
        <v>17944</v>
      </c>
      <c r="H52" t="s">
        <v>28</v>
      </c>
      <c r="I52">
        <v>146.37</v>
      </c>
    </row>
    <row r="53" spans="1:9" x14ac:dyDescent="0.3">
      <c r="A53">
        <v>536415</v>
      </c>
      <c r="B53" t="s">
        <v>73</v>
      </c>
      <c r="C53" t="s">
        <v>19</v>
      </c>
      <c r="D53">
        <v>13</v>
      </c>
      <c r="E53" s="6">
        <v>45719</v>
      </c>
      <c r="F53">
        <v>9.91</v>
      </c>
      <c r="G53">
        <v>17924</v>
      </c>
      <c r="H53" t="s">
        <v>54</v>
      </c>
      <c r="I53">
        <v>128.83000000000001</v>
      </c>
    </row>
    <row r="54" spans="1:9" x14ac:dyDescent="0.3">
      <c r="A54">
        <v>536416</v>
      </c>
      <c r="B54" t="s">
        <v>74</v>
      </c>
      <c r="C54" t="s">
        <v>35</v>
      </c>
      <c r="D54">
        <v>24</v>
      </c>
      <c r="E54" s="6">
        <v>45720</v>
      </c>
      <c r="F54">
        <v>10.97</v>
      </c>
      <c r="G54">
        <v>17892</v>
      </c>
      <c r="H54" t="s">
        <v>28</v>
      </c>
      <c r="I54">
        <v>263.27999999999997</v>
      </c>
    </row>
    <row r="55" spans="1:9" x14ac:dyDescent="0.3">
      <c r="A55">
        <v>536417</v>
      </c>
      <c r="B55" t="s">
        <v>75</v>
      </c>
      <c r="C55" t="s">
        <v>24</v>
      </c>
      <c r="D55">
        <v>2</v>
      </c>
      <c r="E55" s="6">
        <v>45721</v>
      </c>
      <c r="F55">
        <v>6.36</v>
      </c>
      <c r="G55">
        <v>17922</v>
      </c>
      <c r="H55" t="s">
        <v>13</v>
      </c>
      <c r="I55">
        <v>12.72</v>
      </c>
    </row>
    <row r="56" spans="1:9" x14ac:dyDescent="0.3">
      <c r="A56">
        <v>536418</v>
      </c>
      <c r="B56" t="s">
        <v>76</v>
      </c>
      <c r="C56" t="s">
        <v>15</v>
      </c>
      <c r="D56">
        <v>29</v>
      </c>
      <c r="E56" s="6">
        <v>45722</v>
      </c>
      <c r="F56">
        <v>14.55</v>
      </c>
      <c r="G56">
        <v>17876</v>
      </c>
      <c r="H56" t="s">
        <v>11</v>
      </c>
      <c r="I56">
        <v>421.95</v>
      </c>
    </row>
    <row r="57" spans="1:9" x14ac:dyDescent="0.3">
      <c r="A57">
        <v>536419</v>
      </c>
      <c r="B57" t="s">
        <v>77</v>
      </c>
      <c r="C57" t="s">
        <v>17</v>
      </c>
      <c r="D57">
        <v>23</v>
      </c>
      <c r="E57" s="6">
        <v>45723</v>
      </c>
      <c r="F57">
        <v>7.58</v>
      </c>
      <c r="G57">
        <v>17948</v>
      </c>
      <c r="H57" t="s">
        <v>38</v>
      </c>
      <c r="I57">
        <v>174.34</v>
      </c>
    </row>
    <row r="58" spans="1:9" x14ac:dyDescent="0.3">
      <c r="A58">
        <v>536420</v>
      </c>
      <c r="B58" t="s">
        <v>78</v>
      </c>
      <c r="C58" t="s">
        <v>21</v>
      </c>
      <c r="D58">
        <v>4</v>
      </c>
      <c r="E58" s="6">
        <v>45724</v>
      </c>
      <c r="F58">
        <v>12.35</v>
      </c>
      <c r="G58">
        <v>17859</v>
      </c>
      <c r="H58" t="s">
        <v>31</v>
      </c>
      <c r="I58">
        <v>49.4</v>
      </c>
    </row>
    <row r="59" spans="1:9" x14ac:dyDescent="0.3">
      <c r="A59">
        <v>536421</v>
      </c>
      <c r="B59" t="s">
        <v>79</v>
      </c>
      <c r="C59" t="s">
        <v>10</v>
      </c>
      <c r="D59">
        <v>23</v>
      </c>
      <c r="E59" s="6">
        <v>45725</v>
      </c>
      <c r="F59">
        <v>5.03</v>
      </c>
      <c r="G59">
        <v>17896</v>
      </c>
      <c r="H59" t="s">
        <v>13</v>
      </c>
      <c r="I59">
        <v>115.69</v>
      </c>
    </row>
    <row r="60" spans="1:9" x14ac:dyDescent="0.3">
      <c r="A60">
        <v>536422</v>
      </c>
      <c r="B60" t="s">
        <v>80</v>
      </c>
      <c r="C60" t="s">
        <v>19</v>
      </c>
      <c r="D60">
        <v>28</v>
      </c>
      <c r="E60" s="6">
        <v>45726</v>
      </c>
      <c r="F60">
        <v>11.55</v>
      </c>
      <c r="G60">
        <v>17943</v>
      </c>
      <c r="H60" t="s">
        <v>22</v>
      </c>
      <c r="I60">
        <v>323.39999999999998</v>
      </c>
    </row>
    <row r="61" spans="1:9" x14ac:dyDescent="0.3">
      <c r="A61">
        <v>536423</v>
      </c>
      <c r="B61" t="s">
        <v>81</v>
      </c>
      <c r="C61" t="s">
        <v>15</v>
      </c>
      <c r="D61">
        <v>24</v>
      </c>
      <c r="E61" s="6">
        <v>45727</v>
      </c>
      <c r="F61">
        <v>4.3899999999999997</v>
      </c>
      <c r="G61">
        <v>17902</v>
      </c>
      <c r="H61" t="s">
        <v>22</v>
      </c>
      <c r="I61">
        <v>105.36</v>
      </c>
    </row>
    <row r="62" spans="1:9" x14ac:dyDescent="0.3">
      <c r="A62">
        <v>536424</v>
      </c>
      <c r="B62" t="s">
        <v>82</v>
      </c>
      <c r="C62" t="s">
        <v>24</v>
      </c>
      <c r="D62">
        <v>23</v>
      </c>
      <c r="E62" s="6">
        <v>45728</v>
      </c>
      <c r="F62">
        <v>9.84</v>
      </c>
      <c r="G62">
        <v>17853</v>
      </c>
      <c r="H62" t="s">
        <v>38</v>
      </c>
      <c r="I62">
        <v>226.32</v>
      </c>
    </row>
    <row r="63" spans="1:9" x14ac:dyDescent="0.3">
      <c r="A63">
        <v>536425</v>
      </c>
      <c r="B63" t="s">
        <v>83</v>
      </c>
      <c r="C63" t="s">
        <v>10</v>
      </c>
      <c r="D63">
        <v>24</v>
      </c>
      <c r="E63" s="6">
        <v>45729</v>
      </c>
      <c r="F63">
        <v>10.24</v>
      </c>
      <c r="G63">
        <v>17912</v>
      </c>
      <c r="H63" t="s">
        <v>54</v>
      </c>
      <c r="I63">
        <v>245.76</v>
      </c>
    </row>
    <row r="64" spans="1:9" x14ac:dyDescent="0.3">
      <c r="A64">
        <v>536426</v>
      </c>
      <c r="B64" t="s">
        <v>84</v>
      </c>
      <c r="C64" t="s">
        <v>15</v>
      </c>
      <c r="D64">
        <v>25</v>
      </c>
      <c r="E64" s="6">
        <v>45730</v>
      </c>
      <c r="F64">
        <v>9.5</v>
      </c>
      <c r="G64">
        <v>17928</v>
      </c>
      <c r="H64" t="s">
        <v>54</v>
      </c>
      <c r="I64">
        <v>237.5</v>
      </c>
    </row>
    <row r="65" spans="1:9" x14ac:dyDescent="0.3">
      <c r="A65">
        <v>536427</v>
      </c>
      <c r="B65" t="s">
        <v>85</v>
      </c>
      <c r="C65" t="s">
        <v>10</v>
      </c>
      <c r="D65">
        <v>3</v>
      </c>
      <c r="E65" s="6">
        <v>45731</v>
      </c>
      <c r="F65">
        <v>10.91</v>
      </c>
      <c r="G65">
        <v>17878</v>
      </c>
      <c r="H65" t="s">
        <v>28</v>
      </c>
      <c r="I65">
        <v>32.729999999999997</v>
      </c>
    </row>
    <row r="66" spans="1:9" x14ac:dyDescent="0.3">
      <c r="A66">
        <v>536428</v>
      </c>
      <c r="B66" t="s">
        <v>86</v>
      </c>
      <c r="C66" t="s">
        <v>10</v>
      </c>
      <c r="D66">
        <v>21</v>
      </c>
      <c r="E66" s="6">
        <v>45732</v>
      </c>
      <c r="F66">
        <v>3.99</v>
      </c>
      <c r="G66">
        <v>17875</v>
      </c>
      <c r="H66" t="s">
        <v>13</v>
      </c>
      <c r="I66">
        <v>83.79</v>
      </c>
    </row>
    <row r="67" spans="1:9" x14ac:dyDescent="0.3">
      <c r="A67">
        <v>536429</v>
      </c>
      <c r="B67" t="s">
        <v>87</v>
      </c>
      <c r="C67" t="s">
        <v>19</v>
      </c>
      <c r="D67">
        <v>24</v>
      </c>
      <c r="E67" s="6">
        <v>45733</v>
      </c>
      <c r="F67">
        <v>5.17</v>
      </c>
      <c r="G67">
        <v>17937</v>
      </c>
      <c r="H67" t="s">
        <v>22</v>
      </c>
      <c r="I67">
        <v>124.08</v>
      </c>
    </row>
    <row r="68" spans="1:9" x14ac:dyDescent="0.3">
      <c r="A68">
        <v>536430</v>
      </c>
      <c r="B68" t="s">
        <v>88</v>
      </c>
      <c r="C68" t="s">
        <v>21</v>
      </c>
      <c r="D68">
        <v>10</v>
      </c>
      <c r="E68" s="6">
        <v>45734</v>
      </c>
      <c r="F68">
        <v>3.01</v>
      </c>
      <c r="G68">
        <v>17859</v>
      </c>
      <c r="H68" t="s">
        <v>38</v>
      </c>
      <c r="I68">
        <v>30.1</v>
      </c>
    </row>
    <row r="69" spans="1:9" x14ac:dyDescent="0.3">
      <c r="A69">
        <v>536431</v>
      </c>
      <c r="B69" t="s">
        <v>89</v>
      </c>
      <c r="C69" t="s">
        <v>17</v>
      </c>
      <c r="D69">
        <v>10</v>
      </c>
      <c r="E69" s="6">
        <v>45735</v>
      </c>
      <c r="F69">
        <v>11.47</v>
      </c>
      <c r="G69">
        <v>17887</v>
      </c>
      <c r="H69" t="s">
        <v>54</v>
      </c>
      <c r="I69">
        <v>114.7</v>
      </c>
    </row>
    <row r="70" spans="1:9" x14ac:dyDescent="0.3">
      <c r="A70">
        <v>536432</v>
      </c>
      <c r="B70" t="s">
        <v>90</v>
      </c>
      <c r="C70" t="s">
        <v>24</v>
      </c>
      <c r="D70">
        <v>11</v>
      </c>
      <c r="E70" s="6">
        <v>45736</v>
      </c>
      <c r="F70">
        <v>7.21</v>
      </c>
      <c r="G70">
        <v>17852</v>
      </c>
      <c r="H70" t="s">
        <v>54</v>
      </c>
      <c r="I70">
        <v>79.31</v>
      </c>
    </row>
    <row r="71" spans="1:9" x14ac:dyDescent="0.3">
      <c r="A71">
        <v>536433</v>
      </c>
      <c r="B71" t="s">
        <v>91</v>
      </c>
      <c r="C71" t="s">
        <v>17</v>
      </c>
      <c r="D71">
        <v>8</v>
      </c>
      <c r="E71" s="6">
        <v>45737</v>
      </c>
      <c r="F71">
        <v>0.54</v>
      </c>
      <c r="G71">
        <v>17928</v>
      </c>
      <c r="H71" t="s">
        <v>22</v>
      </c>
      <c r="I71">
        <v>4.32</v>
      </c>
    </row>
    <row r="72" spans="1:9" x14ac:dyDescent="0.3">
      <c r="A72">
        <v>536434</v>
      </c>
      <c r="B72" t="s">
        <v>92</v>
      </c>
      <c r="C72" t="s">
        <v>19</v>
      </c>
      <c r="D72">
        <v>1</v>
      </c>
      <c r="E72" s="6">
        <v>45738</v>
      </c>
      <c r="F72">
        <v>8.6199999999999992</v>
      </c>
      <c r="G72">
        <v>17909</v>
      </c>
      <c r="H72" t="s">
        <v>54</v>
      </c>
      <c r="I72">
        <v>8.6199999999999992</v>
      </c>
    </row>
    <row r="73" spans="1:9" x14ac:dyDescent="0.3">
      <c r="A73">
        <v>536435</v>
      </c>
      <c r="B73" t="s">
        <v>93</v>
      </c>
      <c r="C73" t="s">
        <v>24</v>
      </c>
      <c r="D73">
        <v>13</v>
      </c>
      <c r="E73" s="6">
        <v>45739</v>
      </c>
      <c r="F73">
        <v>1.55</v>
      </c>
      <c r="G73">
        <v>17877</v>
      </c>
      <c r="H73" t="s">
        <v>54</v>
      </c>
      <c r="I73">
        <v>20.149999999999999</v>
      </c>
    </row>
    <row r="74" spans="1:9" x14ac:dyDescent="0.3">
      <c r="A74">
        <v>536436</v>
      </c>
      <c r="B74" t="s">
        <v>94</v>
      </c>
      <c r="C74" t="s">
        <v>21</v>
      </c>
      <c r="D74">
        <v>15</v>
      </c>
      <c r="E74" s="6">
        <v>45740</v>
      </c>
      <c r="F74">
        <v>5.18</v>
      </c>
      <c r="G74">
        <v>17891</v>
      </c>
      <c r="H74" t="s">
        <v>31</v>
      </c>
      <c r="I74">
        <v>77.7</v>
      </c>
    </row>
    <row r="75" spans="1:9" x14ac:dyDescent="0.3">
      <c r="A75">
        <v>536437</v>
      </c>
      <c r="B75" t="s">
        <v>95</v>
      </c>
      <c r="C75" t="s">
        <v>17</v>
      </c>
      <c r="D75">
        <v>13</v>
      </c>
      <c r="E75" s="6">
        <v>45741</v>
      </c>
      <c r="F75">
        <v>14.86</v>
      </c>
      <c r="G75">
        <v>17889</v>
      </c>
      <c r="H75" t="s">
        <v>38</v>
      </c>
      <c r="I75">
        <v>193.18</v>
      </c>
    </row>
    <row r="76" spans="1:9" x14ac:dyDescent="0.3">
      <c r="A76">
        <v>536438</v>
      </c>
      <c r="B76" t="s">
        <v>96</v>
      </c>
      <c r="C76" t="s">
        <v>17</v>
      </c>
      <c r="D76">
        <v>11</v>
      </c>
      <c r="E76" s="6">
        <v>45742</v>
      </c>
      <c r="F76">
        <v>13.04</v>
      </c>
      <c r="G76">
        <v>17883</v>
      </c>
      <c r="H76" t="s">
        <v>13</v>
      </c>
      <c r="I76">
        <v>143.44</v>
      </c>
    </row>
    <row r="77" spans="1:9" x14ac:dyDescent="0.3">
      <c r="A77">
        <v>536439</v>
      </c>
      <c r="B77" t="s">
        <v>97</v>
      </c>
      <c r="C77" t="s">
        <v>35</v>
      </c>
      <c r="D77">
        <v>22</v>
      </c>
      <c r="E77" s="6">
        <v>45743</v>
      </c>
      <c r="F77">
        <v>2.85</v>
      </c>
      <c r="G77">
        <v>17868</v>
      </c>
      <c r="H77" t="s">
        <v>28</v>
      </c>
      <c r="I77">
        <v>62.7</v>
      </c>
    </row>
    <row r="78" spans="1:9" x14ac:dyDescent="0.3">
      <c r="A78">
        <v>536440</v>
      </c>
      <c r="B78" t="s">
        <v>98</v>
      </c>
      <c r="C78" t="s">
        <v>24</v>
      </c>
      <c r="D78">
        <v>5</v>
      </c>
      <c r="E78" s="6">
        <v>45744</v>
      </c>
      <c r="F78">
        <v>9.57</v>
      </c>
      <c r="G78">
        <v>17855</v>
      </c>
      <c r="H78" t="s">
        <v>28</v>
      </c>
      <c r="I78">
        <v>47.85</v>
      </c>
    </row>
    <row r="79" spans="1:9" x14ac:dyDescent="0.3">
      <c r="A79">
        <v>536441</v>
      </c>
      <c r="B79" t="s">
        <v>99</v>
      </c>
      <c r="C79" t="s">
        <v>21</v>
      </c>
      <c r="D79">
        <v>5</v>
      </c>
      <c r="E79" s="6">
        <v>45745</v>
      </c>
      <c r="F79">
        <v>8.65</v>
      </c>
      <c r="G79">
        <v>17948</v>
      </c>
      <c r="H79" t="s">
        <v>38</v>
      </c>
      <c r="I79">
        <v>43.25</v>
      </c>
    </row>
    <row r="80" spans="1:9" x14ac:dyDescent="0.3">
      <c r="A80">
        <v>536442</v>
      </c>
      <c r="B80" t="s">
        <v>100</v>
      </c>
      <c r="C80" t="s">
        <v>21</v>
      </c>
      <c r="D80">
        <v>26</v>
      </c>
      <c r="E80" s="6">
        <v>45746</v>
      </c>
      <c r="F80">
        <v>14.61</v>
      </c>
      <c r="G80">
        <v>17851</v>
      </c>
      <c r="H80" t="s">
        <v>54</v>
      </c>
      <c r="I80">
        <v>379.86</v>
      </c>
    </row>
    <row r="81" spans="1:9" x14ac:dyDescent="0.3">
      <c r="A81">
        <v>536443</v>
      </c>
      <c r="B81" t="s">
        <v>101</v>
      </c>
      <c r="C81" t="s">
        <v>10</v>
      </c>
      <c r="D81">
        <v>18</v>
      </c>
      <c r="E81" s="6">
        <v>45747</v>
      </c>
      <c r="F81">
        <v>4.2699999999999996</v>
      </c>
      <c r="G81">
        <v>17943</v>
      </c>
      <c r="H81" t="s">
        <v>54</v>
      </c>
      <c r="I81">
        <v>76.86</v>
      </c>
    </row>
    <row r="82" spans="1:9" x14ac:dyDescent="0.3">
      <c r="A82">
        <v>536444</v>
      </c>
      <c r="B82" t="s">
        <v>102</v>
      </c>
      <c r="C82" t="s">
        <v>21</v>
      </c>
      <c r="D82">
        <v>25</v>
      </c>
      <c r="E82" s="6">
        <v>45748</v>
      </c>
      <c r="F82">
        <v>10.97</v>
      </c>
      <c r="G82">
        <v>17917</v>
      </c>
      <c r="H82" t="s">
        <v>54</v>
      </c>
      <c r="I82">
        <v>274.25</v>
      </c>
    </row>
    <row r="83" spans="1:9" x14ac:dyDescent="0.3">
      <c r="A83">
        <v>536445</v>
      </c>
      <c r="B83" t="s">
        <v>103</v>
      </c>
      <c r="C83" t="s">
        <v>35</v>
      </c>
      <c r="D83">
        <v>6</v>
      </c>
      <c r="E83" s="6">
        <v>45749</v>
      </c>
      <c r="F83">
        <v>1.68</v>
      </c>
      <c r="G83">
        <v>17914</v>
      </c>
      <c r="H83" t="s">
        <v>38</v>
      </c>
      <c r="I83">
        <v>10.08</v>
      </c>
    </row>
    <row r="84" spans="1:9" x14ac:dyDescent="0.3">
      <c r="A84">
        <v>536446</v>
      </c>
      <c r="B84" t="s">
        <v>104</v>
      </c>
      <c r="C84" t="s">
        <v>17</v>
      </c>
      <c r="D84">
        <v>28</v>
      </c>
      <c r="E84" s="6">
        <v>45750</v>
      </c>
      <c r="F84">
        <v>7.19</v>
      </c>
      <c r="G84">
        <v>17900</v>
      </c>
      <c r="H84" t="s">
        <v>11</v>
      </c>
      <c r="I84">
        <v>201.32</v>
      </c>
    </row>
    <row r="85" spans="1:9" x14ac:dyDescent="0.3">
      <c r="A85">
        <v>536447</v>
      </c>
      <c r="B85" t="s">
        <v>105</v>
      </c>
      <c r="C85" t="s">
        <v>35</v>
      </c>
      <c r="D85">
        <v>17</v>
      </c>
      <c r="E85" s="6">
        <v>45751</v>
      </c>
      <c r="F85">
        <v>10.88</v>
      </c>
      <c r="G85">
        <v>17875</v>
      </c>
      <c r="H85" t="s">
        <v>28</v>
      </c>
      <c r="I85">
        <v>184.96</v>
      </c>
    </row>
    <row r="86" spans="1:9" x14ac:dyDescent="0.3">
      <c r="A86">
        <v>536448</v>
      </c>
      <c r="B86" t="s">
        <v>106</v>
      </c>
      <c r="C86" t="s">
        <v>24</v>
      </c>
      <c r="D86">
        <v>6</v>
      </c>
      <c r="E86" s="6">
        <v>45752</v>
      </c>
      <c r="F86">
        <v>10.16</v>
      </c>
      <c r="G86">
        <v>17901</v>
      </c>
      <c r="H86" t="s">
        <v>38</v>
      </c>
      <c r="I86">
        <v>60.96</v>
      </c>
    </row>
    <row r="87" spans="1:9" x14ac:dyDescent="0.3">
      <c r="A87">
        <v>536449</v>
      </c>
      <c r="B87" t="s">
        <v>107</v>
      </c>
      <c r="C87" t="s">
        <v>10</v>
      </c>
      <c r="D87">
        <v>23</v>
      </c>
      <c r="E87" s="6">
        <v>45753</v>
      </c>
      <c r="F87">
        <v>12.11</v>
      </c>
      <c r="G87">
        <v>17947</v>
      </c>
      <c r="H87" t="s">
        <v>11</v>
      </c>
      <c r="I87">
        <v>278.52999999999997</v>
      </c>
    </row>
    <row r="88" spans="1:9" x14ac:dyDescent="0.3">
      <c r="A88">
        <v>536450</v>
      </c>
      <c r="B88" t="s">
        <v>108</v>
      </c>
      <c r="C88" t="s">
        <v>24</v>
      </c>
      <c r="D88">
        <v>17</v>
      </c>
      <c r="E88" s="6">
        <v>45754</v>
      </c>
      <c r="F88">
        <v>12.53</v>
      </c>
      <c r="G88">
        <v>17885</v>
      </c>
      <c r="H88" t="s">
        <v>22</v>
      </c>
      <c r="I88">
        <v>213.01</v>
      </c>
    </row>
    <row r="89" spans="1:9" x14ac:dyDescent="0.3">
      <c r="A89">
        <v>536451</v>
      </c>
      <c r="B89" t="s">
        <v>109</v>
      </c>
      <c r="C89" t="s">
        <v>24</v>
      </c>
      <c r="D89">
        <v>23</v>
      </c>
      <c r="E89" s="6">
        <v>45755</v>
      </c>
      <c r="F89">
        <v>3.68</v>
      </c>
      <c r="G89">
        <v>17915</v>
      </c>
      <c r="H89" t="s">
        <v>22</v>
      </c>
      <c r="I89">
        <v>84.64</v>
      </c>
    </row>
    <row r="90" spans="1:9" x14ac:dyDescent="0.3">
      <c r="A90">
        <v>536452</v>
      </c>
      <c r="B90" t="s">
        <v>110</v>
      </c>
      <c r="C90" t="s">
        <v>35</v>
      </c>
      <c r="D90">
        <v>19</v>
      </c>
      <c r="E90" s="6">
        <v>45756</v>
      </c>
      <c r="F90">
        <v>14.12</v>
      </c>
      <c r="G90">
        <v>17879</v>
      </c>
      <c r="H90" t="s">
        <v>31</v>
      </c>
      <c r="I90">
        <v>268.27999999999997</v>
      </c>
    </row>
    <row r="91" spans="1:9" x14ac:dyDescent="0.3">
      <c r="A91">
        <v>536453</v>
      </c>
      <c r="B91" t="s">
        <v>111</v>
      </c>
      <c r="C91" t="s">
        <v>19</v>
      </c>
      <c r="D91">
        <v>25</v>
      </c>
      <c r="E91" s="6">
        <v>45757</v>
      </c>
      <c r="F91">
        <v>1.03</v>
      </c>
      <c r="G91">
        <v>17896</v>
      </c>
      <c r="H91" t="s">
        <v>54</v>
      </c>
      <c r="I91">
        <v>25.75</v>
      </c>
    </row>
    <row r="92" spans="1:9" x14ac:dyDescent="0.3">
      <c r="A92">
        <v>536454</v>
      </c>
      <c r="B92" t="s">
        <v>112</v>
      </c>
      <c r="C92" t="s">
        <v>35</v>
      </c>
      <c r="D92">
        <v>19</v>
      </c>
      <c r="E92" s="6">
        <v>45758</v>
      </c>
      <c r="F92">
        <v>1.95</v>
      </c>
      <c r="G92">
        <v>17944</v>
      </c>
      <c r="H92" t="s">
        <v>54</v>
      </c>
      <c r="I92">
        <v>37.049999999999997</v>
      </c>
    </row>
    <row r="93" spans="1:9" x14ac:dyDescent="0.3">
      <c r="A93">
        <v>536455</v>
      </c>
      <c r="B93" t="s">
        <v>113</v>
      </c>
      <c r="C93" t="s">
        <v>17</v>
      </c>
      <c r="D93">
        <v>4</v>
      </c>
      <c r="E93" s="6">
        <v>45759</v>
      </c>
      <c r="F93">
        <v>8.2100000000000009</v>
      </c>
      <c r="G93">
        <v>17892</v>
      </c>
      <c r="H93" t="s">
        <v>54</v>
      </c>
      <c r="I93">
        <v>32.840000000000003</v>
      </c>
    </row>
    <row r="94" spans="1:9" x14ac:dyDescent="0.3">
      <c r="A94">
        <v>536456</v>
      </c>
      <c r="B94" t="s">
        <v>114</v>
      </c>
      <c r="C94" t="s">
        <v>15</v>
      </c>
      <c r="D94">
        <v>6</v>
      </c>
      <c r="E94" s="6">
        <v>45760</v>
      </c>
      <c r="F94">
        <v>6.36</v>
      </c>
      <c r="G94">
        <v>17929</v>
      </c>
      <c r="H94" t="s">
        <v>38</v>
      </c>
      <c r="I94">
        <v>38.159999999999997</v>
      </c>
    </row>
    <row r="95" spans="1:9" x14ac:dyDescent="0.3">
      <c r="A95">
        <v>536457</v>
      </c>
      <c r="B95" t="s">
        <v>115</v>
      </c>
      <c r="C95" t="s">
        <v>21</v>
      </c>
      <c r="D95">
        <v>24</v>
      </c>
      <c r="E95" s="6">
        <v>45761</v>
      </c>
      <c r="F95">
        <v>6.41</v>
      </c>
      <c r="G95">
        <v>17856</v>
      </c>
      <c r="H95" t="s">
        <v>31</v>
      </c>
      <c r="I95">
        <v>153.84</v>
      </c>
    </row>
    <row r="96" spans="1:9" x14ac:dyDescent="0.3">
      <c r="A96">
        <v>536458</v>
      </c>
      <c r="B96" t="s">
        <v>116</v>
      </c>
      <c r="C96" t="s">
        <v>15</v>
      </c>
      <c r="D96">
        <v>13</v>
      </c>
      <c r="E96" s="6">
        <v>45762</v>
      </c>
      <c r="F96">
        <v>9.83</v>
      </c>
      <c r="G96">
        <v>17862</v>
      </c>
      <c r="H96" t="s">
        <v>31</v>
      </c>
      <c r="I96">
        <v>127.79</v>
      </c>
    </row>
    <row r="97" spans="1:9" x14ac:dyDescent="0.3">
      <c r="A97">
        <v>536459</v>
      </c>
      <c r="B97" t="s">
        <v>117</v>
      </c>
      <c r="C97" t="s">
        <v>19</v>
      </c>
      <c r="D97">
        <v>7</v>
      </c>
      <c r="E97" s="6">
        <v>45763</v>
      </c>
      <c r="F97">
        <v>1.41</v>
      </c>
      <c r="G97">
        <v>17933</v>
      </c>
      <c r="H97" t="s">
        <v>31</v>
      </c>
      <c r="I97">
        <v>9.8699999999999992</v>
      </c>
    </row>
    <row r="98" spans="1:9" x14ac:dyDescent="0.3">
      <c r="A98">
        <v>536460</v>
      </c>
      <c r="B98" t="s">
        <v>118</v>
      </c>
      <c r="C98" t="s">
        <v>24</v>
      </c>
      <c r="D98">
        <v>29</v>
      </c>
      <c r="E98" s="6">
        <v>45764</v>
      </c>
      <c r="F98">
        <v>8.86</v>
      </c>
      <c r="G98">
        <v>17907</v>
      </c>
      <c r="H98" t="s">
        <v>54</v>
      </c>
      <c r="I98">
        <v>256.94</v>
      </c>
    </row>
    <row r="99" spans="1:9" x14ac:dyDescent="0.3">
      <c r="A99">
        <v>536461</v>
      </c>
      <c r="B99" t="s">
        <v>119</v>
      </c>
      <c r="C99" t="s">
        <v>15</v>
      </c>
      <c r="D99">
        <v>28</v>
      </c>
      <c r="E99" s="6">
        <v>45765</v>
      </c>
      <c r="F99">
        <v>13.29</v>
      </c>
      <c r="G99">
        <v>17889</v>
      </c>
      <c r="H99" t="s">
        <v>31</v>
      </c>
      <c r="I99">
        <v>372.12</v>
      </c>
    </row>
    <row r="100" spans="1:9" x14ac:dyDescent="0.3">
      <c r="A100">
        <v>536462</v>
      </c>
      <c r="B100" t="s">
        <v>120</v>
      </c>
      <c r="C100" t="s">
        <v>19</v>
      </c>
      <c r="D100">
        <v>30</v>
      </c>
      <c r="E100" s="6">
        <v>45766</v>
      </c>
      <c r="F100">
        <v>3.28</v>
      </c>
      <c r="G100">
        <v>17912</v>
      </c>
      <c r="H100" t="s">
        <v>54</v>
      </c>
      <c r="I100">
        <v>98.4</v>
      </c>
    </row>
    <row r="101" spans="1:9" x14ac:dyDescent="0.3">
      <c r="A101">
        <v>536463</v>
      </c>
      <c r="B101" t="s">
        <v>121</v>
      </c>
      <c r="C101" t="s">
        <v>19</v>
      </c>
      <c r="D101">
        <v>4</v>
      </c>
      <c r="E101" s="6">
        <v>45767</v>
      </c>
      <c r="F101">
        <v>12.67</v>
      </c>
      <c r="G101">
        <v>17921</v>
      </c>
      <c r="H101" t="s">
        <v>38</v>
      </c>
      <c r="I101">
        <v>50.68</v>
      </c>
    </row>
    <row r="102" spans="1:9" x14ac:dyDescent="0.3">
      <c r="A102">
        <v>536464</v>
      </c>
      <c r="B102" t="s">
        <v>122</v>
      </c>
      <c r="C102" t="s">
        <v>10</v>
      </c>
      <c r="D102">
        <v>10</v>
      </c>
      <c r="E102" s="6">
        <v>45768</v>
      </c>
      <c r="F102">
        <v>14.36</v>
      </c>
      <c r="G102">
        <v>17860</v>
      </c>
      <c r="H102" t="s">
        <v>38</v>
      </c>
      <c r="I102">
        <v>143.6</v>
      </c>
    </row>
  </sheetData>
  <autoFilter ref="A2:I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Detail2</vt:lpstr>
      <vt:lpstr>Sheet2</vt:lpstr>
      <vt:lpstr>Sheet1</vt:lpstr>
      <vt:lpstr>CustomerSegmentation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bhowmikbibek88@gmail.com</cp:lastModifiedBy>
  <dcterms:created xsi:type="dcterms:W3CDTF">2026-06-25T14:59:47Z</dcterms:created>
  <dcterms:modified xsi:type="dcterms:W3CDTF">2026-06-30T07:44:33Z</dcterms:modified>
</cp:coreProperties>
</file>